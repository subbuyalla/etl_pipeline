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Maturity_Heatmap" sheetId="2" state="visible" r:id="rId2"/>
    <sheet xmlns:r="http://schemas.openxmlformats.org/officeDocument/2006/relationships" name="03_Operational_Value_Recovery" sheetId="3" state="visible" r:id="rId3"/>
    <sheet xmlns:r="http://schemas.openxmlformats.org/officeDocument/2006/relationships" name="04_Implementation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"/>
    <numFmt numFmtId="166" formatCode="+0.00"/>
    <numFmt numFmtId="167" formatCode="#,##0 hrs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b val="1"/>
      <color rgb="00475569"/>
      <sz val="8"/>
    </font>
    <font>
      <name val="Segoe UI"/>
      <b val="1"/>
      <color rgb="001E3A8A"/>
      <sz val="18"/>
    </font>
    <font>
      <name val="Segoe UI"/>
      <b val="1"/>
      <color rgb="0092400E"/>
      <sz val="8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991B1B"/>
      <sz val="8"/>
    </font>
    <font>
      <name val="Segoe UI"/>
      <b val="1"/>
      <color rgb="001E3A8A"/>
      <sz val="9"/>
    </font>
    <font>
      <name val="Segoe UI"/>
      <i val="1"/>
      <color rgb="0064748B"/>
      <sz val="8"/>
    </font>
    <font>
      <name val="Segoe UI"/>
      <b val="1"/>
      <color rgb="000F172A"/>
      <sz val="10"/>
    </font>
    <font>
      <name val="Segoe UI"/>
      <b val="1"/>
      <color rgb="00166534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left" vertical="center" wrapText="1"/>
    </xf>
    <xf numFmtId="2" fontId="10" fillId="3" borderId="3" applyAlignment="1" pivotButton="0" quotePrefix="0" xfId="0">
      <alignment horizontal="center" vertical="center" wrapText="1"/>
    </xf>
    <xf numFmtId="166" fontId="10" fillId="3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167" fontId="15" fillId="3" borderId="3" applyAlignment="1" pivotButton="0" quotePrefix="0" xfId="0">
      <alignment horizontal="center" vertical="center" wrapText="1"/>
    </xf>
    <xf numFmtId="167" fontId="16" fillId="6" borderId="3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  <col width="40" customWidth="1" min="4" max="4"/>
    <col width="24" customWidth="1" min="5" max="5"/>
    <col width="24" customWidth="1" min="6" max="6"/>
  </cols>
  <sheetData>
    <row r="1" ht="28" customHeight="1">
      <c r="A1" s="1" t="inlineStr">
        <is>
          <t>CRITICAL DATA PIPELINE RELIABILITY READINESS ASSESSMENT</t>
        </is>
      </c>
    </row>
    <row r="2" ht="18" customHeight="1">
      <c r="A2" s="2" t="inlineStr">
        <is>
          <t>Executive Reliability &amp; Pipeline Stability Scorecard | AWS Data Platform | v2.0</t>
        </is>
      </c>
    </row>
    <row r="3" ht="10" customHeight="1"/>
    <row r="4">
      <c r="A4" s="3" t="inlineStr">
        <is>
          <t>A. Executive Reliability Posture &amp; Operational Trajectory</t>
        </is>
      </c>
    </row>
    <row r="6" ht="20" customHeight="1">
      <c r="A6" s="4" t="inlineStr">
        <is>
          <t>Current Maturity Score</t>
        </is>
      </c>
      <c r="B6" s="4" t="inlineStr">
        <is>
          <t>Target Maturity Score</t>
        </is>
      </c>
      <c r="C6" s="4" t="inlineStr">
        <is>
          <t>Pipeline Incident MTTR</t>
        </is>
      </c>
      <c r="D6" s="4" t="inlineStr">
        <is>
          <t>Monthly Failure Rate</t>
        </is>
      </c>
      <c r="E6" s="4" t="inlineStr">
        <is>
          <t>Critical T+1 SLA Delivery</t>
        </is>
      </c>
      <c r="F6" s="4" t="inlineStr">
        <is>
          <t>Engineering Effort Reclaimed</t>
        </is>
      </c>
    </row>
    <row r="7" ht="32" customHeight="1">
      <c r="A7" s="5" t="inlineStr">
        <is>
          <t>Level 2.05 / 5.0</t>
        </is>
      </c>
      <c r="B7" s="5" t="inlineStr">
        <is>
          <t>Level 4.10 / 5.0</t>
        </is>
      </c>
      <c r="C7" s="5" t="inlineStr">
        <is>
          <t>14h  -&gt;  85m</t>
        </is>
      </c>
      <c r="D7" s="5" t="inlineStr">
        <is>
          <t>18  -&gt;  &lt;2 / mo</t>
        </is>
      </c>
      <c r="E7" s="5" t="inlineStr">
        <is>
          <t>78%  -&gt;  99.9%</t>
        </is>
      </c>
      <c r="F7" s="5" t="inlineStr">
        <is>
          <t>320+ hrs / mo</t>
        </is>
      </c>
    </row>
    <row r="8" ht="20" customHeight="1">
      <c r="A8" s="6" t="inlineStr">
        <is>
          <t>Defined / Reactive State</t>
        </is>
      </c>
      <c r="B8" s="7" t="inlineStr">
        <is>
          <t>Governed &amp; Automated</t>
        </is>
      </c>
      <c r="C8" s="8" t="inlineStr">
        <is>
          <t>-89% Recovery Acceleration</t>
        </is>
      </c>
      <c r="D8" s="7" t="inlineStr">
        <is>
          <t>-89% Failure Reduction</t>
        </is>
      </c>
      <c r="E8" s="8" t="inlineStr">
        <is>
          <t>Wealth &amp; Billing Compliance</t>
        </is>
      </c>
      <c r="F8" s="7" t="inlineStr">
        <is>
          <t>Toil &amp; War Room Elimination</t>
        </is>
      </c>
    </row>
    <row r="10">
      <c r="A10" s="3" t="inlineStr">
        <is>
          <t>B. Strategic Diagnostic Findings &amp; Operational Risk Profile</t>
        </is>
      </c>
    </row>
    <row r="11" ht="24" customHeight="1">
      <c r="A11" s="9" t="inlineStr">
        <is>
          <t>DataOps Dimension</t>
        </is>
      </c>
      <c r="B11" s="9" t="inlineStr">
        <is>
          <t>Audited Operational Baseline</t>
        </is>
      </c>
      <c r="C11" s="9" t="inlineStr">
        <is>
          <t>Operational Consequence &amp; Blast Radius</t>
        </is>
      </c>
      <c r="D11" s="9" t="inlineStr">
        <is>
          <t>Target Remediation Milestone</t>
        </is>
      </c>
    </row>
    <row r="12" ht="28" customHeight="1">
      <c r="A12" s="10" t="inlineStr">
        <is>
          <t>D2: Schema Evolution &amp; Contracts</t>
        </is>
      </c>
      <c r="B12" s="11" t="inlineStr">
        <is>
          <t>Upstream DB schema changes occur without notice; 0 automated drift gates prior to Spark/Glue.</t>
        </is>
      </c>
      <c r="C12" s="11" t="inlineStr">
        <is>
          <t>Silent data corruption in Redshift; downstream reporting breaks hours after batch completion.</t>
        </is>
      </c>
      <c r="D12" s="11" t="inlineStr">
        <is>
          <t>Deploy Great Expectations schema drift quarantine on S3 landing zones; block corrupt payloads.</t>
        </is>
      </c>
    </row>
    <row r="13" ht="28" customHeight="1">
      <c r="A13" s="12" t="inlineStr">
        <is>
          <t>D1 &amp; D4: Airflow DAG Resilience</t>
        </is>
      </c>
      <c r="B13" s="13" t="inlineStr">
        <is>
          <t>Nightly batch DAGs lack concurrency slot controls; tasks fail due to worker memory exhaustion.</t>
        </is>
      </c>
      <c r="C13" s="13" t="inlineStr">
        <is>
          <t>Pipeline runs stall silently for 4+ hours; requires emergency senior engineer manual intervention.</t>
        </is>
      </c>
      <c r="D13" s="13" t="inlineStr">
        <is>
          <t>Tune MWAA celery worker autoscale and task concurrency; implement exponential backoff retries.</t>
        </is>
      </c>
    </row>
    <row r="14" ht="28" customHeight="1">
      <c r="A14" s="10" t="inlineStr">
        <is>
          <t>D4: Idempotency &amp; Backfill Mechanics</t>
        </is>
      </c>
      <c r="B14" s="11" t="inlineStr">
        <is>
          <t>Pipeline backfills rely on manual SQL DELETE/INSERT statements; high risk of duplicate records.</t>
        </is>
      </c>
      <c r="C14" s="11" t="inlineStr">
        <is>
          <t>Engineers burn 50+ hours/month manually reconciling duplicate rows in billing and wealth marts.</t>
        </is>
      </c>
      <c r="D14" s="11" t="inlineStr">
        <is>
          <t>Refactor top-8 fragile DAGs with deterministic idempotent UPSERT / MERGE staging logic.</t>
        </is>
      </c>
    </row>
    <row r="15" ht="28" customHeight="1">
      <c r="A15" s="12" t="inlineStr">
        <is>
          <t>D3 &amp; D5: SLA Monitoring &amp; Runbooks</t>
        </is>
      </c>
      <c r="B15" s="13" t="inlineStr">
        <is>
          <t>Alerts fire via generic CloudWatch emails with zero contextual runbook links or diagnostic logs.</t>
        </is>
      </c>
      <c r="C15" s="13" t="inlineStr">
        <is>
          <t>On-call engineers spend 8–14 hours triaging root cause from scratch during active P1 incidents.</t>
        </is>
      </c>
      <c r="D15" s="13" t="inlineStr">
        <is>
          <t>Standardize SLA miss callbacks and attach verified 1-click runbook SOPs to all PagerDuty alerts.</t>
        </is>
      </c>
    </row>
    <row r="16" ht="28" customHeight="1">
      <c r="A16" s="10" t="inlineStr">
        <is>
          <t>D6: CI/CD Pipeline Testing</t>
        </is>
      </c>
      <c r="B16" s="11" t="inlineStr">
        <is>
          <t>Data pipeline code deployed directly to production with zero automated unit or data contract tests.</t>
        </is>
      </c>
      <c r="C16" s="11" t="inlineStr">
        <is>
          <t>Syntax errors, bad SQL joins, and credential bugs deploy silently to live analytical pipelines.</t>
        </is>
      </c>
      <c r="D16" s="11" t="inlineStr">
        <is>
          <t>Establish automated CI/CD validation gates running pytest and dbt test suites prior to merge.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8" customWidth="1" min="5" max="5"/>
    <col width="38" customWidth="1" min="6" max="6"/>
    <col width="48" customWidth="1" min="7" max="7"/>
  </cols>
  <sheetData>
    <row r="1" ht="28" customHeight="1">
      <c r="A1" s="1" t="inlineStr">
        <is>
          <t>DATAOPS PRACTICE | 8-DIMENSION READINESS SCORECARD</t>
        </is>
      </c>
    </row>
    <row r="2" ht="18" customHeight="1">
      <c r="A2" s="2" t="inlineStr">
        <is>
          <t>Baseline vs Target Scoring Across AWS Architecture &amp; Operations | v2.0</t>
        </is>
      </c>
    </row>
    <row r="3" ht="10" customHeight="1"/>
    <row r="4">
      <c r="A4" s="3" t="inlineStr">
        <is>
          <t>A. AWS DataOps Practice Maturity Scores by Dimension</t>
        </is>
      </c>
    </row>
    <row r="5" ht="24" customHeight="1">
      <c r="A5" s="9" t="inlineStr">
        <is>
          <t>Dimension Code &amp; Name</t>
        </is>
      </c>
      <c r="B5" s="9" t="inlineStr">
        <is>
          <t>Current Score</t>
        </is>
      </c>
      <c r="C5" s="9" t="inlineStr">
        <is>
          <t>Target Score</t>
        </is>
      </c>
      <c r="D5" s="9" t="inlineStr">
        <is>
          <t>Score Gap</t>
        </is>
      </c>
      <c r="E5" s="9" t="inlineStr">
        <is>
          <t>Operational Status</t>
        </is>
      </c>
      <c r="F5" s="9" t="inlineStr">
        <is>
          <t>Audited AWS Artifact</t>
        </is>
      </c>
      <c r="G5" s="9" t="inlineStr">
        <is>
          <t>Priority Engineering Recommendation</t>
        </is>
      </c>
    </row>
    <row r="6" ht="24" customHeight="1">
      <c r="A6" s="11" t="inlineStr">
        <is>
          <t>D1: Pipeline Architecture &amp; DAG Hygiene</t>
        </is>
      </c>
      <c r="B6" s="14" t="n">
        <v>2.2</v>
      </c>
      <c r="C6" s="14" t="n">
        <v>4.2</v>
      </c>
      <c r="D6" s="15">
        <f>C6-B6</f>
        <v/>
      </c>
      <c r="E6" s="6" t="inlineStr">
        <is>
          <t>Watch</t>
        </is>
      </c>
      <c r="F6" s="11" t="inlineStr">
        <is>
          <t>MWAA DAG code, task graphs, retry configs</t>
        </is>
      </c>
      <c r="G6" s="11" t="inlineStr">
        <is>
          <t>Modularize monolithic DAGs; tune worker concurrency and task timeouts</t>
        </is>
      </c>
    </row>
    <row r="7" ht="24" customHeight="1">
      <c r="A7" s="13" t="inlineStr">
        <is>
          <t>D2: Data Quality &amp; Schema Drift Governance</t>
        </is>
      </c>
      <c r="B7" s="16" t="n">
        <v>1.6</v>
      </c>
      <c r="C7" s="16" t="n">
        <v>4</v>
      </c>
      <c r="D7" s="17">
        <f>C7-B7</f>
        <v/>
      </c>
      <c r="E7" s="18" t="inlineStr">
        <is>
          <t>Critical</t>
        </is>
      </c>
      <c r="F7" s="13" t="inlineStr">
        <is>
          <t>Glue Schema Registry, S3 landing schema validation</t>
        </is>
      </c>
      <c r="G7" s="13" t="inlineStr">
        <is>
          <t>Deploy automated Great Expectations tests at S3 ingestion gates</t>
        </is>
      </c>
    </row>
    <row r="8" ht="24" customHeight="1">
      <c r="A8" s="11" t="inlineStr">
        <is>
          <t>D3: Pipeline Freshness, Lineage &amp; SLAs</t>
        </is>
      </c>
      <c r="B8" s="14" t="n">
        <v>1.8</v>
      </c>
      <c r="C8" s="14" t="n">
        <v>4</v>
      </c>
      <c r="D8" s="15">
        <f>C8-B8</f>
        <v/>
      </c>
      <c r="E8" s="18" t="inlineStr">
        <is>
          <t>Critical</t>
        </is>
      </c>
      <c r="F8" s="11" t="inlineStr">
        <is>
          <t>CloudWatch SLA alarms, MWAA task duration metrics</t>
        </is>
      </c>
      <c r="G8" s="11" t="inlineStr">
        <is>
          <t>Configure Airflow sla_miss_callbacks and upstream dependency monitors</t>
        </is>
      </c>
    </row>
    <row r="9" ht="24" customHeight="1">
      <c r="A9" s="13" t="inlineStr">
        <is>
          <t>D4: Idempotency, Replay &amp; Disaster Recovery</t>
        </is>
      </c>
      <c r="B9" s="16" t="n">
        <v>1.7</v>
      </c>
      <c r="C9" s="16" t="n">
        <v>4.2</v>
      </c>
      <c r="D9" s="17">
        <f>C9-B9</f>
        <v/>
      </c>
      <c r="E9" s="18" t="inlineStr">
        <is>
          <t>Critical</t>
        </is>
      </c>
      <c r="F9" s="13" t="inlineStr">
        <is>
          <t>Backfill scripts, Redshift staging tables, bookmarks</t>
        </is>
      </c>
      <c r="G9" s="13" t="inlineStr">
        <is>
          <t>Enforce idempotent MERGE staging and 1-click partition backfill DAGs</t>
        </is>
      </c>
    </row>
    <row r="10" ht="24" customHeight="1">
      <c r="A10" s="11" t="inlineStr">
        <is>
          <t>D5: Incident Response, Runbooks &amp; MTTR</t>
        </is>
      </c>
      <c r="B10" s="14" t="n">
        <v>2.1</v>
      </c>
      <c r="C10" s="14" t="n">
        <v>4.2</v>
      </c>
      <c r="D10" s="15">
        <f>C10-B10</f>
        <v/>
      </c>
      <c r="E10" s="6" t="inlineStr">
        <is>
          <t>Watch</t>
        </is>
      </c>
      <c r="F10" s="11" t="inlineStr">
        <is>
          <t>PagerDuty alerts, CloudWatch alarm rules, runbook wiki</t>
        </is>
      </c>
      <c r="G10" s="11" t="inlineStr">
        <is>
          <t>Attach 1-click runbook links to all alerts; eliminate un-actionable noise</t>
        </is>
      </c>
    </row>
    <row r="11" ht="24" customHeight="1">
      <c r="A11" s="13" t="inlineStr">
        <is>
          <t>D6: CI/CD, Testing &amp; Pipeline Deployment</t>
        </is>
      </c>
      <c r="B11" s="16" t="n">
        <v>2</v>
      </c>
      <c r="C11" s="16" t="n">
        <v>4</v>
      </c>
      <c r="D11" s="17">
        <f>C11-B11</f>
        <v/>
      </c>
      <c r="E11" s="6" t="inlineStr">
        <is>
          <t>Watch</t>
        </is>
      </c>
      <c r="F11" s="13" t="inlineStr">
        <is>
          <t>AWS CodePipeline, GitHub Actions, dbt test suites</t>
        </is>
      </c>
      <c r="G11" s="13" t="inlineStr">
        <is>
          <t>Automate linting, unit tests, and pre-deployment schema validation</t>
        </is>
      </c>
    </row>
    <row r="12" ht="24" customHeight="1">
      <c r="A12" s="11" t="inlineStr">
        <is>
          <t>D7: Data Observability &amp; Health Reporting</t>
        </is>
      </c>
      <c r="B12" s="14" t="n">
        <v>1.8</v>
      </c>
      <c r="C12" s="14" t="n">
        <v>4</v>
      </c>
      <c r="D12" s="15">
        <f>C12-B12</f>
        <v/>
      </c>
      <c r="E12" s="18" t="inlineStr">
        <is>
          <t>Critical</t>
        </is>
      </c>
      <c r="F12" s="11" t="inlineStr">
        <is>
          <t>CloudWatch dashboards, EventBridge rule logs</t>
        </is>
      </c>
      <c r="G12" s="11" t="inlineStr">
        <is>
          <t>Deploy unified DataOps console tracking freshness, volume, and quality</t>
        </is>
      </c>
    </row>
    <row r="13" ht="24" customHeight="1">
      <c r="A13" s="13" t="inlineStr">
        <is>
          <t>D8: Cost, Efficiency &amp; Resource Saturation</t>
        </is>
      </c>
      <c r="B13" s="16" t="n">
        <v>2.4</v>
      </c>
      <c r="C13" s="16" t="n">
        <v>4.2</v>
      </c>
      <c r="D13" s="17">
        <f>C13-B13</f>
        <v/>
      </c>
      <c r="E13" s="7" t="inlineStr">
        <is>
          <t>Healthy</t>
        </is>
      </c>
      <c r="F13" s="13" t="inlineStr">
        <is>
          <t>AWS Cost Explorer, EMR/Glue CloudWatch CPU/memory</t>
        </is>
      </c>
      <c r="G13" s="13" t="inlineStr">
        <is>
          <t>Right-size Glue DPUs and optimize Redshift WLM queue memory allocations</t>
        </is>
      </c>
    </row>
    <row r="14" ht="26" customHeight="1">
      <c r="A14" s="19" t="inlineStr">
        <is>
          <t>Weighted Composite Maturity Score</t>
        </is>
      </c>
      <c r="B14" s="20">
        <f>AVERAGE(B6:B13)</f>
        <v/>
      </c>
      <c r="C14" s="20">
        <f>AVERAGE(C6:C13)</f>
        <v/>
      </c>
      <c r="D14" s="21">
        <f>C14-B14</f>
        <v/>
      </c>
      <c r="E14" s="22" t="inlineStr">
        <is>
          <t>Level 2.05 -&gt; 4.10</t>
        </is>
      </c>
      <c r="F14" s="23" t="inlineStr">
        <is>
          <t>Overall Enterprise Platform Progression</t>
        </is>
      </c>
      <c r="G14" s="23" t="inlineStr">
        <is>
          <t>Overall Enterprise Platform Progression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28" customWidth="1" min="3" max="3"/>
    <col width="22" customWidth="1" min="4" max="4"/>
    <col width="22" customWidth="1" min="5" max="5"/>
    <col width="46" customWidth="1" min="6" max="6"/>
  </cols>
  <sheetData>
    <row r="1" ht="28" customHeight="1">
      <c r="A1" s="1" t="inlineStr">
        <is>
          <t>DATAOPS RELIABILITY &amp; ENGINEERING CAPACITY RECOVERY MODEL</t>
        </is>
      </c>
    </row>
    <row r="2" ht="18" customHeight="1">
      <c r="A2" s="2" t="inlineStr">
        <is>
          <t>Quantified Operational Hours Reclaimed &amp; Pipeline Blast Radius Reduction | v2.0</t>
        </is>
      </c>
    </row>
    <row r="3" ht="10" customHeight="1"/>
    <row r="4">
      <c r="A4" s="3" t="inlineStr">
        <is>
          <t>A. Engineering Effort &amp; Operational Capacity Recovery Model (Hours Reclaimed)</t>
        </is>
      </c>
    </row>
    <row r="5" ht="24" customHeight="1">
      <c r="A5" s="9" t="inlineStr">
        <is>
          <t>Operational Pipeline Workflow</t>
        </is>
      </c>
      <c r="B5" s="9" t="inlineStr">
        <is>
          <t>Current Monthly Hours Burned</t>
        </is>
      </c>
      <c r="C5" s="9" t="inlineStr">
        <is>
          <t>Optimized Monthly Hours</t>
        </is>
      </c>
      <c r="D5" s="9" t="inlineStr">
        <is>
          <t>Monthly Hours Reclaimed</t>
        </is>
      </c>
      <c r="E5" s="9" t="inlineStr">
        <is>
          <t>Annual Hours Reclaimed</t>
        </is>
      </c>
      <c r="F5" s="9" t="inlineStr">
        <is>
          <t>Primary Reliability Impact</t>
        </is>
      </c>
    </row>
    <row r="6" ht="24" customHeight="1">
      <c r="A6" s="11" t="inlineStr">
        <is>
          <t>Manual ETL &amp; DAG Failure Triaging (War Rooms)</t>
        </is>
      </c>
      <c r="B6" s="24" t="n">
        <v>140</v>
      </c>
      <c r="C6" s="24" t="n">
        <v>25</v>
      </c>
      <c r="D6" s="25">
        <f>B6-C6</f>
        <v/>
      </c>
      <c r="E6" s="25">
        <f>D6*12</f>
        <v/>
      </c>
      <c r="F6" s="11" t="inlineStr">
        <is>
          <t>Automated root-cause diagnostics pinpoint failure stages in &lt;15m</t>
        </is>
      </c>
    </row>
    <row r="7" ht="24" customHeight="1">
      <c r="A7" s="13" t="inlineStr">
        <is>
          <t>Ad-Hoc Data Quality Debugging &amp; Manual SQL Checks</t>
        </is>
      </c>
      <c r="B7" s="26" t="n">
        <v>90</v>
      </c>
      <c r="C7" s="26" t="n">
        <v>15</v>
      </c>
      <c r="D7" s="25">
        <f>B7-C7</f>
        <v/>
      </c>
      <c r="E7" s="25">
        <f>D7*12</f>
        <v/>
      </c>
      <c r="F7" s="13" t="inlineStr">
        <is>
          <t>Automated Great Expectations tests block corrupt batches at ingestion</t>
        </is>
      </c>
    </row>
    <row r="8" ht="24" customHeight="1">
      <c r="A8" s="11" t="inlineStr">
        <is>
          <t>Manual Pipeline Replays &amp; Historical Data Backfilling</t>
        </is>
      </c>
      <c r="B8" s="24" t="n">
        <v>50</v>
      </c>
      <c r="C8" s="24" t="n">
        <v>8</v>
      </c>
      <c r="D8" s="25">
        <f>B8-C8</f>
        <v/>
      </c>
      <c r="E8" s="25">
        <f>D8*12</f>
        <v/>
      </c>
      <c r="F8" s="11" t="inlineStr">
        <is>
          <t>Idempotent UPSERT scripts eliminate manual row-deletion firefighting</t>
        </is>
      </c>
    </row>
    <row r="9" ht="24" customHeight="1">
      <c r="A9" s="13" t="inlineStr">
        <is>
          <t>Alert Noise Fatigue &amp; False Alarm Response</t>
        </is>
      </c>
      <c r="B9" s="26" t="n">
        <v>40</v>
      </c>
      <c r="C9" s="26" t="n">
        <v>6</v>
      </c>
      <c r="D9" s="25">
        <f>B9-C9</f>
        <v/>
      </c>
      <c r="E9" s="25">
        <f>D9*12</f>
        <v/>
      </c>
      <c r="F9" s="13" t="inlineStr">
        <is>
          <t>Suppressed non-actionable alarms; attached 1-click verified runbooks</t>
        </is>
      </c>
    </row>
    <row r="10" ht="24" customHeight="1">
      <c r="A10" s="11" t="inlineStr">
        <is>
          <t>Post-Incident Root Cause Analysis &amp; Reporting</t>
        </is>
      </c>
      <c r="B10" s="24" t="n">
        <v>30</v>
      </c>
      <c r="C10" s="24" t="n">
        <v>6</v>
      </c>
      <c r="D10" s="25">
        <f>B10-C10</f>
        <v/>
      </c>
      <c r="E10" s="25">
        <f>D10*12</f>
        <v/>
      </c>
      <c r="F10" s="11" t="inlineStr">
        <is>
          <t>Automated pipeline incident taxonomy and log trace correlation</t>
        </is>
      </c>
    </row>
    <row r="11" ht="24" customHeight="1">
      <c r="A11" s="13" t="inlineStr">
        <is>
          <t>Schema Drift Recovery &amp; Table Reconstruction</t>
        </is>
      </c>
      <c r="B11" s="26" t="n">
        <v>25</v>
      </c>
      <c r="C11" s="26" t="n">
        <v>3</v>
      </c>
      <c r="D11" s="25">
        <f>B11-C11</f>
        <v/>
      </c>
      <c r="E11" s="25">
        <f>D11*12</f>
        <v/>
      </c>
      <c r="F11" s="13" t="inlineStr">
        <is>
          <t>Schema evolution registry prevents silent column mismatch crashes</t>
        </is>
      </c>
    </row>
    <row r="12" ht="26" customHeight="1">
      <c r="A12" s="19" t="inlineStr">
        <is>
          <t>Total Engineering Capacity Reclaimed</t>
        </is>
      </c>
      <c r="B12" s="27">
        <f>SUM(B6:B11)</f>
        <v/>
      </c>
      <c r="C12" s="27">
        <f>SUM(C6:C11)</f>
        <v/>
      </c>
      <c r="D12" s="28">
        <f>SUM(D6:D11)</f>
        <v/>
      </c>
      <c r="E12" s="28">
        <f>SUM(E6:E11)</f>
        <v/>
      </c>
      <c r="F12" s="23" t="inlineStr">
        <is>
          <t>Capacity unlocked for new revenue &amp; platform development</t>
        </is>
      </c>
    </row>
    <row r="15">
      <c r="A15" s="3" t="inlineStr">
        <is>
          <t>B. Tier-1 Critical Pipeline Failure Blast Radius Reduction</t>
        </is>
      </c>
    </row>
    <row r="16" ht="24" customHeight="1">
      <c r="A16" s="9" t="inlineStr">
        <is>
          <t>Critical Pipeline ID</t>
        </is>
      </c>
      <c r="B16" s="9" t="inlineStr">
        <is>
          <t>Business Workload Supported</t>
        </is>
      </c>
      <c r="C16" s="9" t="inlineStr">
        <is>
          <t>Downstream Tables / Reports</t>
        </is>
      </c>
      <c r="D16" s="9" t="inlineStr">
        <is>
          <t>Baseline Triage MTTR</t>
        </is>
      </c>
      <c r="E16" s="9" t="inlineStr">
        <is>
          <t>Target MTTR</t>
        </is>
      </c>
      <c r="F16" s="9" t="inlineStr">
        <is>
          <t>Blast Radius Control Mechanism</t>
        </is>
      </c>
    </row>
    <row r="17" ht="24" customHeight="1">
      <c r="A17" s="29" t="inlineStr">
        <is>
          <t>PL-01: Daily Wealth P&amp;L Batch</t>
        </is>
      </c>
      <c r="B17" s="13" t="inlineStr">
        <is>
          <t>Wealth Management &amp; Portfolios</t>
        </is>
      </c>
      <c r="C17" s="13" t="inlineStr">
        <is>
          <t>18 Reporting Marts</t>
        </is>
      </c>
      <c r="D17" s="30" t="inlineStr">
        <is>
          <t>14 hours</t>
        </is>
      </c>
      <c r="E17" s="7" t="inlineStr">
        <is>
          <t>45 mins (-94%)</t>
        </is>
      </c>
      <c r="F17" s="13" t="inlineStr">
        <is>
          <t>Automated circuit breaker quarantines corrupt records without halting DAG</t>
        </is>
      </c>
    </row>
    <row r="18" ht="24" customHeight="1">
      <c r="A18" s="31" t="inlineStr">
        <is>
          <t>PL-02: Real-Time Fraud Stream</t>
        </is>
      </c>
      <c r="B18" s="11" t="inlineStr">
        <is>
          <t>Card Authorization Services</t>
        </is>
      </c>
      <c r="C18" s="11" t="inlineStr">
        <is>
          <t>3 Fraud Scoring Engines</t>
        </is>
      </c>
      <c r="D18" s="32" t="inlineStr">
        <is>
          <t>4 hours</t>
        </is>
      </c>
      <c r="E18" s="7" t="inlineStr">
        <is>
          <t>20 mins (-91%)</t>
        </is>
      </c>
      <c r="F18" s="11" t="inlineStr">
        <is>
          <t>Kafka consumer lag autoscaling &amp; dead-letter queue routing</t>
        </is>
      </c>
    </row>
    <row r="19" ht="24" customHeight="1">
      <c r="A19" s="29" t="inlineStr">
        <is>
          <t>PL-03: Billing Extract &amp; Reconciliation</t>
        </is>
      </c>
      <c r="B19" s="13" t="inlineStr">
        <is>
          <t>Enterprise Customer Invoicing</t>
        </is>
      </c>
      <c r="C19" s="13" t="inlineStr">
        <is>
          <t>12 Finance Ledger Tables</t>
        </is>
      </c>
      <c r="D19" s="30" t="inlineStr">
        <is>
          <t>12 hours</t>
        </is>
      </c>
      <c r="E19" s="7" t="inlineStr">
        <is>
          <t>60 mins (-91%)</t>
        </is>
      </c>
      <c r="F19" s="13" t="inlineStr">
        <is>
          <t>Idempotent staging partition validation; zero duplicate line items</t>
        </is>
      </c>
    </row>
    <row r="20" ht="24" customHeight="1">
      <c r="A20" s="31" t="inlineStr">
        <is>
          <t>PL-04: Risk Analytics &amp; Var Model</t>
        </is>
      </c>
      <c r="B20" s="11" t="inlineStr">
        <is>
          <t>Regulatory Risk Reporting</t>
        </is>
      </c>
      <c r="C20" s="11" t="inlineStr">
        <is>
          <t>8 Capital Adequacy Marts</t>
        </is>
      </c>
      <c r="D20" s="32" t="inlineStr">
        <is>
          <t>16 hours</t>
        </is>
      </c>
      <c r="E20" s="7" t="inlineStr">
        <is>
          <t>90 mins (-90%)</t>
        </is>
      </c>
      <c r="F20" s="11" t="inlineStr">
        <is>
          <t>Automated schema drift detection blocks unannounced column alterations</t>
        </is>
      </c>
    </row>
    <row r="21" ht="24" customHeight="1">
      <c r="A21" s="29" t="inlineStr">
        <is>
          <t>PL-05: Customer 360 Marketing Feed</t>
        </is>
      </c>
      <c r="B21" s="13" t="inlineStr">
        <is>
          <t>Personalization &amp; Retention</t>
        </is>
      </c>
      <c r="C21" s="13" t="inlineStr">
        <is>
          <t>24 Segment Marts</t>
        </is>
      </c>
      <c r="D21" s="30" t="inlineStr">
        <is>
          <t>8 hours</t>
        </is>
      </c>
      <c r="E21" s="7" t="inlineStr">
        <is>
          <t>30 mins (-93%)</t>
        </is>
      </c>
      <c r="F21" s="13" t="inlineStr">
        <is>
          <t>Dependency checkpointing prevents downstream cascade failures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44" customWidth="1" min="3" max="3"/>
    <col width="38" customWidth="1" min="4" max="4"/>
    <col width="24" customWidth="1" min="5" max="5"/>
    <col width="18" customWidth="1" min="6" max="6"/>
  </cols>
  <sheetData>
    <row r="1" ht="28" customHeight="1">
      <c r="A1" s="1" t="inlineStr">
        <is>
          <t>DATAOPS 90-DAY RELIABILITY IMPLEMENTATION ROADMAP</t>
        </is>
      </c>
    </row>
    <row r="2" ht="18" customHeight="1">
      <c r="A2" s="2" t="inlineStr">
        <is>
          <t>Three-Horizon Engineering Sprint Plan for AWS Data Pipeline Stabilization | v2.0</t>
        </is>
      </c>
    </row>
    <row r="3" ht="10" customHeight="1"/>
    <row r="4">
      <c r="A4" s="3" t="inlineStr">
        <is>
          <t>A. Structured 30 / 60 / 90-Day Implementation Sprints</t>
        </is>
      </c>
    </row>
    <row r="5" ht="24" customHeight="1">
      <c r="A5" s="9" t="inlineStr">
        <is>
          <t>Implementation Horizon</t>
        </is>
      </c>
      <c r="B5" s="9" t="inlineStr">
        <is>
          <t>Target AWS Component</t>
        </is>
      </c>
      <c r="C5" s="9" t="inlineStr">
        <is>
          <t>Scope &amp; Key Technical Deliverables</t>
        </is>
      </c>
      <c r="D5" s="9" t="inlineStr">
        <is>
          <t>Target Pipeline Impact</t>
        </is>
      </c>
      <c r="E5" s="9" t="inlineStr">
        <is>
          <t>Engineering Team Owner</t>
        </is>
      </c>
      <c r="F5" s="9" t="inlineStr">
        <is>
          <t>Delivery Window</t>
        </is>
      </c>
    </row>
    <row r="6" ht="28" customHeight="1">
      <c r="A6" s="10" t="inlineStr">
        <is>
          <t>Horizon 1: Days 0–30 (Triage &amp; Quick Wins)</t>
        </is>
      </c>
      <c r="B6" s="32" t="inlineStr">
        <is>
          <t>Amazon MWAA &amp; Airflow</t>
        </is>
      </c>
      <c r="C6" s="11" t="inlineStr">
        <is>
          <t>Silence non-actionable alarms; attach runbook URLs to 100% of P1/P2 alerts; tune worker concurrency</t>
        </is>
      </c>
      <c r="D6" s="11" t="inlineStr">
        <is>
          <t>Immediate relief from alert noise; 50% MTTR reduction on top-2 failures</t>
        </is>
      </c>
      <c r="E6" s="32" t="inlineStr">
        <is>
          <t>Data Engineering Squad</t>
        </is>
      </c>
      <c r="F6" s="8" t="inlineStr">
        <is>
          <t>Weeks 1–4</t>
        </is>
      </c>
    </row>
    <row r="7" ht="28" customHeight="1">
      <c r="A7" s="12" t="inlineStr">
        <is>
          <t>Horizon 1: Days 0–30 (Triage &amp; Quick Wins)</t>
        </is>
      </c>
      <c r="B7" s="30" t="inlineStr">
        <is>
          <t>CloudWatch &amp; EventBridge</t>
        </is>
      </c>
      <c r="C7" s="13" t="inlineStr">
        <is>
          <t>Configure MWAA task duration alarms and SLA miss callback functions for critical morning jobs</t>
        </is>
      </c>
      <c r="D7" s="13" t="inlineStr">
        <is>
          <t>Zero silent batch stalls; instant notifications before business impact</t>
        </is>
      </c>
      <c r="E7" s="30" t="inlineStr">
        <is>
          <t>DataOps Specialist</t>
        </is>
      </c>
      <c r="F7" s="8" t="inlineStr">
        <is>
          <t>Weeks 2–4</t>
        </is>
      </c>
    </row>
    <row r="8" ht="28" customHeight="1">
      <c r="A8" s="10" t="inlineStr">
        <is>
          <t>Horizon 2: Days 31–60 (Quality &amp; Idempotency)</t>
        </is>
      </c>
      <c r="B8" s="32" t="inlineStr">
        <is>
          <t>AWS Glue &amp; Great Expectations</t>
        </is>
      </c>
      <c r="C8" s="11" t="inlineStr">
        <is>
          <t>Deploy automated schema drift detection and null checks at S3 ingestion gates; route bad records to quarantine</t>
        </is>
      </c>
      <c r="D8" s="11" t="inlineStr">
        <is>
          <t>Prevents corrupted data from polluting Redshift and financial marts</t>
        </is>
      </c>
      <c r="E8" s="32" t="inlineStr">
        <is>
          <t>Data Platform Squad</t>
        </is>
      </c>
      <c r="F8" s="8" t="inlineStr">
        <is>
          <t>Weeks 5–8</t>
        </is>
      </c>
    </row>
    <row r="9" ht="28" customHeight="1">
      <c r="A9" s="12" t="inlineStr">
        <is>
          <t>Horizon 2: Days 31–60 (Quality &amp; Idempotency)</t>
        </is>
      </c>
      <c r="B9" s="30" t="inlineStr">
        <is>
          <t>Amazon Redshift &amp; Spark</t>
        </is>
      </c>
      <c r="C9" s="13" t="inlineStr">
        <is>
          <t>Refactor top-8 fragile DAGs with idempotent MERGE / UPSERT logic and automated partition backfill scripts</t>
        </is>
      </c>
      <c r="D9" s="13" t="inlineStr">
        <is>
          <t>Safe 1-click pipeline replay without creating duplicate records</t>
        </is>
      </c>
      <c r="E9" s="30" t="inlineStr">
        <is>
          <t>Lead Data Architect</t>
        </is>
      </c>
      <c r="F9" s="8" t="inlineStr">
        <is>
          <t>Weeks 6–8</t>
        </is>
      </c>
    </row>
    <row r="10" ht="28" customHeight="1">
      <c r="A10" s="10" t="inlineStr">
        <is>
          <t>Horizon 3: Days 61–90 (Governance &amp; Scale)</t>
        </is>
      </c>
      <c r="B10" s="32" t="inlineStr">
        <is>
          <t>AWS CodePipeline &amp; GitHub Actions</t>
        </is>
      </c>
      <c r="C10" s="11" t="inlineStr">
        <is>
          <t>Implement automated CI/CD validation gates with pytest, SQLFluff linting, and dbt pre-commit checks</t>
        </is>
      </c>
      <c r="D10" s="11" t="inlineStr">
        <is>
          <t>Zero untested pipeline code deployed to production</t>
        </is>
      </c>
      <c r="E10" s="32" t="inlineStr">
        <is>
          <t>DevOps / DataOps Lead</t>
        </is>
      </c>
      <c r="F10" s="8" t="inlineStr">
        <is>
          <t>Weeks 9–11</t>
        </is>
      </c>
    </row>
    <row r="11" ht="28" customHeight="1">
      <c r="A11" s="12" t="inlineStr">
        <is>
          <t>Horizon 3: Days 61–90 (Governance &amp; Scale)</t>
        </is>
      </c>
      <c r="B11" s="30" t="inlineStr">
        <is>
          <t>Amazon CloudWatch &amp; QuickSight</t>
        </is>
      </c>
      <c r="C11" s="13" t="inlineStr">
        <is>
          <t>Deploy unified DataOps Executive Health Console tracking freshness, incident taxonomy, and SLA compliance</t>
        </is>
      </c>
      <c r="D11" s="13" t="inlineStr">
        <is>
          <t>Complete single-pane executive visibility for CDO and VP of Data</t>
        </is>
      </c>
      <c r="E11" s="30" t="inlineStr">
        <is>
          <t>Vithi Practice Team</t>
        </is>
      </c>
      <c r="F11" s="8" t="inlineStr">
        <is>
          <t>Weeks 10–12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2026-09-22T18:39:28Z</dcterms:created>
  <dcterms:modified xmlns:dcterms="http://purl.org/dc/terms/" xmlns:xsi="http://www.w3.org/2001/XMLSchema-instance" xsi:type="dcterms:W3CDTF">2026-09-22T18:39:28Z</dcterms:modified>
</cp:coreProperties>
</file>