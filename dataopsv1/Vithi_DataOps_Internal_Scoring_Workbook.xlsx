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coring_Summary" sheetId="1" state="visible" r:id="rId1"/>
    <sheet xmlns:r="http://schemas.openxmlformats.org/officeDocument/2006/relationships" name="02_Dimension_DeepDives" sheetId="2" state="visible" r:id="rId2"/>
    <sheet xmlns:r="http://schemas.openxmlformats.org/officeDocument/2006/relationships" name="03_Evidence_Audit_Register" sheetId="3" state="visible" r:id="rId3"/>
    <sheet xmlns:r="http://schemas.openxmlformats.org/officeDocument/2006/relationships" name="04_Interviewer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E1"/>
      <sz val="9"/>
    </font>
    <font>
      <name val="Segoe UI"/>
      <b val="1"/>
      <color rgb="001E3A8A"/>
      <sz val="11"/>
    </font>
    <font>
      <name val="Segoe UI"/>
      <b val="1"/>
      <color rgb="00FFFFFF"/>
      <sz val="9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92400E"/>
      <sz val="8"/>
    </font>
    <font>
      <name val="Segoe UI"/>
      <b val="1"/>
      <color rgb="00991B1B"/>
      <sz val="8"/>
    </font>
    <font>
      <name val="Segoe UI"/>
      <b val="1"/>
      <color rgb="00166534"/>
      <sz val="8"/>
    </font>
    <font>
      <name val="Segoe UI"/>
      <b val="1"/>
      <color rgb="001E3A8A"/>
      <sz val="9"/>
    </font>
    <font>
      <name val="Segoe UI"/>
      <i val="1"/>
      <color rgb="0064748B"/>
      <sz val="8"/>
    </font>
    <font>
      <name val="Segoe UI"/>
      <b val="1"/>
      <color rgb="00FFFFFF"/>
      <sz val="11"/>
    </font>
    <font>
      <name val="Segoe UI"/>
      <b val="1"/>
      <color rgb="001E40AF"/>
      <sz val="8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9" fontId="5" fillId="4" borderId="2" applyAlignment="1" pivotButton="0" quotePrefix="0" xfId="0">
      <alignment horizontal="center" vertical="center" wrapText="1"/>
    </xf>
    <xf numFmtId="2" fontId="6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9" fontId="5" fillId="6" borderId="2" applyAlignment="1" pivotButton="0" quotePrefix="0" xfId="0">
      <alignment horizontal="center" vertical="center" wrapText="1"/>
    </xf>
    <xf numFmtId="2" fontId="6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left" vertical="center" wrapText="1"/>
    </xf>
    <xf numFmtId="9" fontId="6" fillId="9" borderId="3" applyAlignment="1" pivotButton="0" quotePrefix="0" xfId="0">
      <alignment horizontal="center" vertical="center" wrapText="1"/>
    </xf>
    <xf numFmtId="2" fontId="6" fillId="9" borderId="3" applyAlignment="1" pivotButton="0" quotePrefix="0" xfId="0">
      <alignment horizontal="center" vertical="center" wrapText="1"/>
    </xf>
    <xf numFmtId="2" fontId="3" fillId="1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11" fillId="9" borderId="3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164" fontId="6" fillId="4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164" fontId="6" fillId="6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8" customWidth="1" min="4" max="4"/>
    <col width="24" customWidth="1" min="5" max="5"/>
    <col width="24" customWidth="1" min="6" max="6"/>
    <col width="16" customWidth="1" min="7" max="7"/>
  </cols>
  <sheetData>
    <row r="1" ht="28" customHeight="1">
      <c r="A1" s="1" t="inlineStr">
        <is>
          <t>VITHI DATAOPS PRACTICE | INTERNAL SCORING &amp; AUDIT ENGINE</t>
        </is>
      </c>
    </row>
    <row r="2" ht="18" customHeight="1">
      <c r="A2" s="2" t="inlineStr">
        <is>
          <t>Technical Diagnostic Scoring Engine across 8 Core Dimensions | AWS Data Platform | v2.0</t>
        </is>
      </c>
    </row>
    <row r="3" ht="10" customHeight="1"/>
    <row r="4">
      <c r="A4" s="3" t="inlineStr">
        <is>
          <t>A. AWS Diagnostic Scoring Summary &amp; Tier Status</t>
        </is>
      </c>
    </row>
    <row r="5" ht="24" customHeight="1">
      <c r="A5" s="4" t="inlineStr">
        <is>
          <t>Dimension Code &amp; Name</t>
        </is>
      </c>
      <c r="B5" s="4" t="inlineStr">
        <is>
          <t>Dimension Weight</t>
        </is>
      </c>
      <c r="C5" s="4" t="inlineStr">
        <is>
          <t>Assessed Score (1.0–5.0)</t>
        </is>
      </c>
      <c r="D5" s="4" t="inlineStr">
        <is>
          <t>Weighted Score</t>
        </is>
      </c>
      <c r="E5" s="4" t="inlineStr">
        <is>
          <t>Maturity Tier</t>
        </is>
      </c>
      <c r="F5" s="4" t="inlineStr">
        <is>
          <t>Key Evidence Reference</t>
        </is>
      </c>
      <c r="G5" s="4" t="inlineStr">
        <is>
          <t>Status Flag</t>
        </is>
      </c>
    </row>
    <row r="6" ht="24" customHeight="1">
      <c r="A6" s="5" t="inlineStr">
        <is>
          <t>D1: Pipeline Architecture &amp; DAG Hygiene</t>
        </is>
      </c>
      <c r="B6" s="6" t="n">
        <v>0.15</v>
      </c>
      <c r="C6" s="7">
        <f>'02_Dimension_DeepDives'!C10</f>
        <v/>
      </c>
      <c r="D6" s="7">
        <f>B6*C6</f>
        <v/>
      </c>
      <c r="E6" s="8" t="inlineStr">
        <is>
          <t>Defined / Reactive</t>
        </is>
      </c>
      <c r="F6" s="8" t="inlineStr">
        <is>
          <t>DEV01, DEV02, DEV03</t>
        </is>
      </c>
      <c r="G6" s="9" t="inlineStr">
        <is>
          <t>Watch</t>
        </is>
      </c>
    </row>
    <row r="7" ht="24" customHeight="1">
      <c r="A7" s="10" t="inlineStr">
        <is>
          <t>D2: Data Quality &amp; Schema Drift Governance</t>
        </is>
      </c>
      <c r="B7" s="11" t="n">
        <v>0.15</v>
      </c>
      <c r="C7" s="12">
        <f>'02_Dimension_DeepDives'!C16</f>
        <v/>
      </c>
      <c r="D7" s="12">
        <f>B7*C7</f>
        <v/>
      </c>
      <c r="E7" s="13" t="inlineStr">
        <is>
          <t>Absent / Ad-Hoc</t>
        </is>
      </c>
      <c r="F7" s="13" t="inlineStr">
        <is>
          <t>DEV04, DEV05</t>
        </is>
      </c>
      <c r="G7" s="14" t="inlineStr">
        <is>
          <t>Critical</t>
        </is>
      </c>
    </row>
    <row r="8" ht="24" customHeight="1">
      <c r="A8" s="5" t="inlineStr">
        <is>
          <t>D3: Pipeline Freshness, Lineage &amp; SLAs</t>
        </is>
      </c>
      <c r="B8" s="6" t="n">
        <v>0.15</v>
      </c>
      <c r="C8" s="7">
        <f>'02_Dimension_DeepDives'!C22</f>
        <v/>
      </c>
      <c r="D8" s="7">
        <f>B8*C8</f>
        <v/>
      </c>
      <c r="E8" s="8" t="inlineStr">
        <is>
          <t>Absent / Ad-Hoc</t>
        </is>
      </c>
      <c r="F8" s="8" t="inlineStr">
        <is>
          <t>DEV03, DEV06</t>
        </is>
      </c>
      <c r="G8" s="14" t="inlineStr">
        <is>
          <t>Critical</t>
        </is>
      </c>
    </row>
    <row r="9" ht="24" customHeight="1">
      <c r="A9" s="10" t="inlineStr">
        <is>
          <t>D4: Idempotency, Replay &amp; Disaster Recovery</t>
        </is>
      </c>
      <c r="B9" s="11" t="n">
        <v>0.15</v>
      </c>
      <c r="C9" s="12">
        <f>'02_Dimension_DeepDives'!C28</f>
        <v/>
      </c>
      <c r="D9" s="12">
        <f>B9*C9</f>
        <v/>
      </c>
      <c r="E9" s="13" t="inlineStr">
        <is>
          <t>Absent / Ad-Hoc</t>
        </is>
      </c>
      <c r="F9" s="13" t="inlineStr">
        <is>
          <t>DEV02, DEV09</t>
        </is>
      </c>
      <c r="G9" s="14" t="inlineStr">
        <is>
          <t>Critical</t>
        </is>
      </c>
    </row>
    <row r="10" ht="24" customHeight="1">
      <c r="A10" s="5" t="inlineStr">
        <is>
          <t>D5: Incident Response, Runbooks &amp; MTTR</t>
        </is>
      </c>
      <c r="B10" s="6" t="n">
        <v>0.1</v>
      </c>
      <c r="C10" s="7">
        <f>'02_Dimension_DeepDives'!C34</f>
        <v/>
      </c>
      <c r="D10" s="7">
        <f>B10*C10</f>
        <v/>
      </c>
      <c r="E10" s="8" t="inlineStr">
        <is>
          <t>Defined / Reactive</t>
        </is>
      </c>
      <c r="F10" s="8" t="inlineStr">
        <is>
          <t>DEV07, DEV08</t>
        </is>
      </c>
      <c r="G10" s="9" t="inlineStr">
        <is>
          <t>Watch</t>
        </is>
      </c>
    </row>
    <row r="11" ht="24" customHeight="1">
      <c r="A11" s="10" t="inlineStr">
        <is>
          <t>D6: CI/CD, Testing &amp; Pipeline Deployment</t>
        </is>
      </c>
      <c r="B11" s="11" t="n">
        <v>0.1</v>
      </c>
      <c r="C11" s="12">
        <f>'02_Dimension_DeepDives'!C40</f>
        <v/>
      </c>
      <c r="D11" s="12">
        <f>B11*C11</f>
        <v/>
      </c>
      <c r="E11" s="13" t="inlineStr">
        <is>
          <t>Defined / Reactive</t>
        </is>
      </c>
      <c r="F11" s="13" t="inlineStr">
        <is>
          <t>DEV10</t>
        </is>
      </c>
      <c r="G11" s="9" t="inlineStr">
        <is>
          <t>Watch</t>
        </is>
      </c>
    </row>
    <row r="12" ht="24" customHeight="1">
      <c r="A12" s="5" t="inlineStr">
        <is>
          <t>D7: Data Observability &amp; Health Reporting</t>
        </is>
      </c>
      <c r="B12" s="6" t="n">
        <v>0.1</v>
      </c>
      <c r="C12" s="7">
        <f>'02_Dimension_DeepDives'!C46</f>
        <v/>
      </c>
      <c r="D12" s="7">
        <f>B12*C12</f>
        <v/>
      </c>
      <c r="E12" s="8" t="inlineStr">
        <is>
          <t>Absent / Ad-Hoc</t>
        </is>
      </c>
      <c r="F12" s="8" t="inlineStr">
        <is>
          <t>DEV06, DEV11</t>
        </is>
      </c>
      <c r="G12" s="14" t="inlineStr">
        <is>
          <t>Critical</t>
        </is>
      </c>
    </row>
    <row r="13" ht="24" customHeight="1">
      <c r="A13" s="10" t="inlineStr">
        <is>
          <t>D8: Cost, Efficiency &amp; Resource Saturation</t>
        </is>
      </c>
      <c r="B13" s="11" t="n">
        <v>0.1</v>
      </c>
      <c r="C13" s="12">
        <f>'02_Dimension_DeepDives'!C52</f>
        <v/>
      </c>
      <c r="D13" s="12">
        <f>B13*C13</f>
        <v/>
      </c>
      <c r="E13" s="13" t="inlineStr">
        <is>
          <t>Defined / Reactive</t>
        </is>
      </c>
      <c r="F13" s="13" t="inlineStr">
        <is>
          <t>DEV12</t>
        </is>
      </c>
      <c r="G13" s="15" t="inlineStr">
        <is>
          <t>Healthy</t>
        </is>
      </c>
    </row>
    <row r="14" ht="26" customHeight="1">
      <c r="A14" s="16" t="inlineStr">
        <is>
          <t>Composite Diagnostic Maturity Score</t>
        </is>
      </c>
      <c r="B14" s="17">
        <f>SUM(B6:B13)</f>
        <v/>
      </c>
      <c r="C14" s="18">
        <f>AVERAGE(C6:C13)</f>
        <v/>
      </c>
      <c r="D14" s="19">
        <f>SUM(D6:D13)</f>
        <v/>
      </c>
      <c r="E14" s="20" t="inlineStr">
        <is>
          <t>Level 2.05 (Defined / Reactive)</t>
        </is>
      </c>
      <c r="F14" s="21" t="inlineStr">
        <is>
          <t>Audited against 12 concrete AWS evidence items</t>
        </is>
      </c>
      <c r="G14" s="21" t="inlineStr">
        <is>
          <t>Audited against 12 concrete AWS evidence items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  <col width="14" customWidth="1" min="4" max="4"/>
    <col width="44" customWidth="1" min="5" max="5"/>
    <col width="46" customWidth="1" min="6" max="6"/>
  </cols>
  <sheetData>
    <row r="1" ht="28" customHeight="1">
      <c r="A1" s="1" t="inlineStr">
        <is>
          <t>DATAOPS PRACTICE | 32-POINT TECHNICAL AUDIT CRITERIA</t>
        </is>
      </c>
    </row>
    <row r="2" ht="18" customHeight="1">
      <c r="A2" s="2" t="inlineStr">
        <is>
          <t>Detailed Criteria Scoring &amp; Evidence Cross-Reference Across D1–D8 | AWS Platform | v2.0</t>
        </is>
      </c>
    </row>
    <row r="3" ht="10" customHeight="1"/>
    <row r="6" ht="24" customHeight="1">
      <c r="A6" s="22" t="inlineStr">
        <is>
          <t>D1: Pipeline Architecture &amp; DAG Hygiene</t>
        </is>
      </c>
    </row>
    <row r="7" ht="24" customHeight="1">
      <c r="A7" s="4" t="inlineStr">
        <is>
          <t>Question ID &amp; Technical Audit Criteria</t>
        </is>
      </c>
      <c r="B7" s="4" t="inlineStr">
        <is>
          <t>Target AWS Service</t>
        </is>
      </c>
      <c r="C7" s="4" t="inlineStr">
        <is>
          <t>Score (1.0–5.0)</t>
        </is>
      </c>
      <c r="D7" s="4" t="inlineStr">
        <is>
          <t>Evidence ID</t>
        </is>
      </c>
      <c r="E7" s="4" t="inlineStr">
        <is>
          <t>Audited Finding Notes</t>
        </is>
      </c>
      <c r="F7" s="4" t="inlineStr">
        <is>
          <t>Recommended Remediation Action</t>
        </is>
      </c>
    </row>
    <row r="8" ht="28" customHeight="1">
      <c r="A8" s="23" t="inlineStr">
        <is>
          <t>D1.1: DAG Modularization &amp; Complexity</t>
        </is>
      </c>
      <c r="B8" s="8" t="inlineStr">
        <is>
          <t>MWAA / Airflow</t>
        </is>
      </c>
      <c r="C8" s="24" t="n">
        <v>2</v>
      </c>
      <c r="D8" s="25" t="inlineStr">
        <is>
          <t>DEV02</t>
        </is>
      </c>
      <c r="E8" s="5" t="inlineStr">
        <is>
          <t>Airflow DAGs contain up to 45 tasks per file; monolithic structure causes task serialization.</t>
        </is>
      </c>
      <c r="F8" s="5" t="inlineStr">
        <is>
          <t>Decompose large DAGs into modular sub-DAGs and task groups with isolated triggers.</t>
        </is>
      </c>
    </row>
    <row r="9" ht="28" customHeight="1">
      <c r="A9" s="26" t="inlineStr">
        <is>
          <t>D1.2: Concurrency &amp; Worker Resource Pools</t>
        </is>
      </c>
      <c r="B9" s="13" t="inlineStr">
        <is>
          <t>MWAA / Airflow</t>
        </is>
      </c>
      <c r="C9" s="27" t="n">
        <v>2.5</v>
      </c>
      <c r="D9" s="25" t="inlineStr">
        <is>
          <t>DEV03</t>
        </is>
      </c>
      <c r="E9" s="10" t="inlineStr">
        <is>
          <t>Worker pools lack slot isolation; high-priority financial DAGs queued behind long-running extracts.</t>
        </is>
      </c>
      <c r="F9" s="10" t="inlineStr">
        <is>
          <t>Configure Airflow pools and Celery worker auto-scaling to reserve capacity for Tier-1 jobs.</t>
        </is>
      </c>
    </row>
    <row r="10" ht="28" customHeight="1">
      <c r="A10" s="23" t="inlineStr">
        <is>
          <t>D1.3: Job Retry &amp; Exponential Backoff Hygiene</t>
        </is>
      </c>
      <c r="B10" s="8" t="inlineStr">
        <is>
          <t>Airflow / Step Functions</t>
        </is>
      </c>
      <c r="C10" s="24" t="n">
        <v>2</v>
      </c>
      <c r="D10" s="25" t="inlineStr">
        <is>
          <t>DEV02</t>
        </is>
      </c>
      <c r="E10" s="5" t="inlineStr">
        <is>
          <t>Tasks configured with static 3-retries and 0 delay; immediate retries overwhelm recovering databases.</t>
        </is>
      </c>
      <c r="F10" s="5" t="inlineStr">
        <is>
          <t>Implement exponential backoff retry policies with randomized jitter on external service calls.</t>
        </is>
      </c>
    </row>
    <row r="11" ht="28" customHeight="1">
      <c r="A11" s="26" t="inlineStr">
        <is>
          <t>D1.4: State Tracking &amp; Task Checkpointing</t>
        </is>
      </c>
      <c r="B11" s="13" t="inlineStr">
        <is>
          <t>AWS Glue / Spark</t>
        </is>
      </c>
      <c r="C11" s="27" t="n">
        <v>2.5</v>
      </c>
      <c r="D11" s="25" t="inlineStr">
        <is>
          <t>DEV01</t>
        </is>
      </c>
      <c r="E11" s="10" t="inlineStr">
        <is>
          <t>Glue job bookmarks enabled on S3 sources, but downstream Redshift staging tables lack row-level state.</t>
        </is>
      </c>
      <c r="F11" s="10" t="inlineStr">
        <is>
          <t>Enforce dual-level state tracking: Glue job bookmarks combined with staging table watermarks.</t>
        </is>
      </c>
    </row>
    <row r="12" ht="24" customHeight="1">
      <c r="A12" s="22" t="inlineStr">
        <is>
          <t>D2: Data Quality &amp; Schema Drift Governance</t>
        </is>
      </c>
    </row>
    <row r="13" ht="24" customHeight="1">
      <c r="A13" s="4" t="inlineStr">
        <is>
          <t>Question ID &amp; Technical Audit Criteria</t>
        </is>
      </c>
      <c r="B13" s="4" t="inlineStr">
        <is>
          <t>Target AWS Service</t>
        </is>
      </c>
      <c r="C13" s="4" t="inlineStr">
        <is>
          <t>Score (1.0–5.0)</t>
        </is>
      </c>
      <c r="D13" s="4" t="inlineStr">
        <is>
          <t>Evidence ID</t>
        </is>
      </c>
      <c r="E13" s="4" t="inlineStr">
        <is>
          <t>Audited Finding Notes</t>
        </is>
      </c>
      <c r="F13" s="4" t="inlineStr">
        <is>
          <t>Recommended Remediation Action</t>
        </is>
      </c>
    </row>
    <row r="14" ht="28" customHeight="1">
      <c r="A14" s="23" t="inlineStr">
        <is>
          <t>D2.1: Automated Ingestion Quality Validation</t>
        </is>
      </c>
      <c r="B14" s="8" t="inlineStr">
        <is>
          <t>Glue Data Quality</t>
        </is>
      </c>
      <c r="C14" s="24" t="n">
        <v>1.5</v>
      </c>
      <c r="D14" s="25" t="inlineStr">
        <is>
          <t>DEV04</t>
        </is>
      </c>
      <c r="E14" s="5" t="inlineStr">
        <is>
          <t>No automated row-count, null-percentage, or distribution checks prior to loading target tables.</t>
        </is>
      </c>
      <c r="F14" s="5" t="inlineStr">
        <is>
          <t>Deploy AWS Glue Data Quality or Great Expectations checks as blocking gates at S3 landing zone.</t>
        </is>
      </c>
    </row>
    <row r="15" ht="28" customHeight="1">
      <c r="A15" s="26" t="inlineStr">
        <is>
          <t>D2.2: Schema Evolution &amp; Drift Enforcement</t>
        </is>
      </c>
      <c r="B15" s="13" t="inlineStr">
        <is>
          <t>Glue Schema Registry</t>
        </is>
      </c>
      <c r="C15" s="27" t="n">
        <v>1.5</v>
      </c>
      <c r="D15" s="25" t="inlineStr">
        <is>
          <t>DEV05</t>
        </is>
      </c>
      <c r="E15" s="10" t="inlineStr">
        <is>
          <t>Upstream DB schema changes pass silently until downstream Redshift query crashes with syntax error.</t>
        </is>
      </c>
      <c r="F15" s="10" t="inlineStr">
        <is>
          <t>Configure Glue Schema Registry with BACKWARD compatibility mode; route invalid schemas to quarantine.</t>
        </is>
      </c>
    </row>
    <row r="16" ht="28" customHeight="1">
      <c r="A16" s="23" t="inlineStr">
        <is>
          <t>D2.3: Null Bursts &amp; Anomaly Detection</t>
        </is>
      </c>
      <c r="B16" s="8" t="inlineStr">
        <is>
          <t>CloudWatch / Custom</t>
        </is>
      </c>
      <c r="C16" s="24" t="n">
        <v>1.5</v>
      </c>
      <c r="D16" s="25" t="inlineStr">
        <is>
          <t>DEV04</t>
        </is>
      </c>
      <c r="E16" s="5" t="inlineStr">
        <is>
          <t>Business users discover null bursts in executive dashboards 48 hours after pipeline execution.</t>
        </is>
      </c>
      <c r="F16" s="5" t="inlineStr">
        <is>
          <t>Deploy automated statistical null threshold alerts that trigger P1 notification if nulls exceed 2%.</t>
        </is>
      </c>
    </row>
    <row r="17" ht="28" customHeight="1">
      <c r="A17" s="26" t="inlineStr">
        <is>
          <t>D2.4: Quarantine &amp; Dead-Letter Routing</t>
        </is>
      </c>
      <c r="B17" s="13" t="inlineStr">
        <is>
          <t>S3 / EventBridge</t>
        </is>
      </c>
      <c r="C17" s="27" t="n">
        <v>2</v>
      </c>
      <c r="D17" s="25" t="inlineStr">
        <is>
          <t>DEV04</t>
        </is>
      </c>
      <c r="E17" s="10" t="inlineStr">
        <is>
          <t>Corrupt records cause entire pipeline failure or are dropped silently without audit trail.</t>
        </is>
      </c>
      <c r="F17" s="10" t="inlineStr">
        <is>
          <t>Establish S3 dead-letter quarantine buckets with automated re-drive and schema repair workflows.</t>
        </is>
      </c>
    </row>
    <row r="18" ht="24" customHeight="1">
      <c r="A18" s="22" t="inlineStr">
        <is>
          <t>D3: Pipeline Freshness, Lineage &amp; SLAs</t>
        </is>
      </c>
    </row>
    <row r="19" ht="24" customHeight="1">
      <c r="A19" s="4" t="inlineStr">
        <is>
          <t>Question ID &amp; Technical Audit Criteria</t>
        </is>
      </c>
      <c r="B19" s="4" t="inlineStr">
        <is>
          <t>Target AWS Service</t>
        </is>
      </c>
      <c r="C19" s="4" t="inlineStr">
        <is>
          <t>Score (1.0–5.0)</t>
        </is>
      </c>
      <c r="D19" s="4" t="inlineStr">
        <is>
          <t>Evidence ID</t>
        </is>
      </c>
      <c r="E19" s="4" t="inlineStr">
        <is>
          <t>Audited Finding Notes</t>
        </is>
      </c>
      <c r="F19" s="4" t="inlineStr">
        <is>
          <t>Recommended Remediation Action</t>
        </is>
      </c>
    </row>
    <row r="20" ht="28" customHeight="1">
      <c r="A20" s="23" t="inlineStr">
        <is>
          <t>D3.1: Freshness SLI &amp; Hard SLA Governance</t>
        </is>
      </c>
      <c r="B20" s="8" t="inlineStr">
        <is>
          <t>CloudWatch / MWAA</t>
        </is>
      </c>
      <c r="C20" s="24" t="n">
        <v>2</v>
      </c>
      <c r="D20" s="25" t="inlineStr">
        <is>
          <t>DEV06</t>
        </is>
      </c>
      <c r="E20" s="5" t="inlineStr">
        <is>
          <t>SLA monitoring based on simple completion email; no tracking of milestone delivery windows.</t>
        </is>
      </c>
      <c r="F20" s="5" t="inlineStr">
        <is>
          <t>Implement Airflow sla_miss_callback and EventBridge rules to alert 60m before hard SLA deadline.</t>
        </is>
      </c>
    </row>
    <row r="21" ht="28" customHeight="1">
      <c r="A21" s="26" t="inlineStr">
        <is>
          <t>D3.2: Data Lineage &amp; Impact Blast Radius</t>
        </is>
      </c>
      <c r="B21" s="13" t="inlineStr">
        <is>
          <t>OpenLineage / DataHub</t>
        </is>
      </c>
      <c r="C21" s="27" t="n">
        <v>1.5</v>
      </c>
      <c r="D21" s="25" t="inlineStr">
        <is>
          <t>DEV11</t>
        </is>
      </c>
      <c r="E21" s="10" t="inlineStr">
        <is>
          <t>No automated end-to-end data lineage; root-cause tracing requires manual grep across Git repos.</t>
        </is>
      </c>
      <c r="F21" s="10" t="inlineStr">
        <is>
          <t>Deploy OpenLineage integration with MWAA to trace column-level lineage from S3 to Redshift.</t>
        </is>
      </c>
    </row>
    <row r="22" ht="28" customHeight="1">
      <c r="A22" s="23" t="inlineStr">
        <is>
          <t>D3.3: Milestone &amp; Checkpoint Alerting</t>
        </is>
      </c>
      <c r="B22" s="8" t="inlineStr">
        <is>
          <t>EventBridge / SNS</t>
        </is>
      </c>
      <c r="C22" s="24" t="n">
        <v>2</v>
      </c>
      <c r="D22" s="25" t="inlineStr">
        <is>
          <t>DEV06</t>
        </is>
      </c>
      <c r="E22" s="5" t="inlineStr">
        <is>
          <t>Alerts only fire when entire pipeline fails; no early warnings for slow-running intermediate tasks.</t>
        </is>
      </c>
      <c r="F22" s="5" t="inlineStr">
        <is>
          <t>Establish milestone alerts at 25%, 50%, and 75% pipeline stages to catch delays hours earlier.</t>
        </is>
      </c>
    </row>
    <row r="23" ht="28" customHeight="1">
      <c r="A23" s="26" t="inlineStr">
        <is>
          <t>D3.4: Consumer SLA Contracts &amp; Reporting</t>
        </is>
      </c>
      <c r="B23" s="13" t="inlineStr">
        <is>
          <t>QuickSight / Wiki</t>
        </is>
      </c>
      <c r="C23" s="27" t="n">
        <v>1.5</v>
      </c>
      <c r="D23" s="25" t="inlineStr">
        <is>
          <t>DEV06</t>
        </is>
      </c>
      <c r="E23" s="10" t="inlineStr">
        <is>
          <t>No published SLA catalog or uptime dashboard shared with business stakeholders.</t>
        </is>
      </c>
      <c r="F23" s="10" t="inlineStr">
        <is>
          <t>Publish formal DataOps SLA catalog and automated daily T+1 delivery compliance reports.</t>
        </is>
      </c>
    </row>
    <row r="24" ht="24" customHeight="1">
      <c r="A24" s="22" t="inlineStr">
        <is>
          <t>D4: Idempotency, Replay &amp; Disaster Recovery</t>
        </is>
      </c>
    </row>
    <row r="25" ht="24" customHeight="1">
      <c r="A25" s="4" t="inlineStr">
        <is>
          <t>Question ID &amp; Technical Audit Criteria</t>
        </is>
      </c>
      <c r="B25" s="4" t="inlineStr">
        <is>
          <t>Target AWS Service</t>
        </is>
      </c>
      <c r="C25" s="4" t="inlineStr">
        <is>
          <t>Score (1.0–5.0)</t>
        </is>
      </c>
      <c r="D25" s="4" t="inlineStr">
        <is>
          <t>Evidence ID</t>
        </is>
      </c>
      <c r="E25" s="4" t="inlineStr">
        <is>
          <t>Audited Finding Notes</t>
        </is>
      </c>
      <c r="F25" s="4" t="inlineStr">
        <is>
          <t>Recommended Remediation Action</t>
        </is>
      </c>
    </row>
    <row r="26" ht="28" customHeight="1">
      <c r="A26" s="23" t="inlineStr">
        <is>
          <t>D4.1: Idempotent Write Mechanics</t>
        </is>
      </c>
      <c r="B26" s="8" t="inlineStr">
        <is>
          <t>Redshift / S3</t>
        </is>
      </c>
      <c r="C26" s="24" t="n">
        <v>1.5</v>
      </c>
      <c r="D26" s="25" t="inlineStr">
        <is>
          <t>DEV09</t>
        </is>
      </c>
      <c r="E26" s="5" t="inlineStr">
        <is>
          <t>Pipelines use direct INSERT INTO; manual retries generate duplicate rows in analytical tables.</t>
        </is>
      </c>
      <c r="F26" s="5" t="inlineStr">
        <is>
          <t>Refactor pipeline writes to use idempotent staging tables with atomic MERGE / UPSERT commands.</t>
        </is>
      </c>
    </row>
    <row r="27" ht="28" customHeight="1">
      <c r="A27" s="26" t="inlineStr">
        <is>
          <t>D4.2: Partition-Level Historical Backfills</t>
        </is>
      </c>
      <c r="B27" s="13" t="inlineStr">
        <is>
          <t>MWAA / Airflow</t>
        </is>
      </c>
      <c r="C27" s="27" t="n">
        <v>2</v>
      </c>
      <c r="D27" s="25" t="inlineStr">
        <is>
          <t>DEV09</t>
        </is>
      </c>
      <c r="E27" s="10" t="inlineStr">
        <is>
          <t>Backfilling historical data requires custom Python scripts that frequently overwrite active partitions.</t>
        </is>
      </c>
      <c r="F27" s="10" t="inlineStr">
        <is>
          <t>Create standardized parameterized backfill DAGs supporting safe date-range partition replays.</t>
        </is>
      </c>
    </row>
    <row r="28" ht="28" customHeight="1">
      <c r="A28" s="23" t="inlineStr">
        <is>
          <t>D4.3: Point-in-Time Data Recovery &amp; RPO</t>
        </is>
      </c>
      <c r="B28" s="8" t="inlineStr">
        <is>
          <t>S3 / Delta / Iceberg</t>
        </is>
      </c>
      <c r="C28" s="24" t="n">
        <v>2</v>
      </c>
      <c r="D28" s="25" t="inlineStr">
        <is>
          <t>DEV05</t>
        </is>
      </c>
      <c r="E28" s="5" t="inlineStr">
        <is>
          <t>Pipeline rollbacks require full table restores from AWS backup, causing 8+ hour outages.</t>
        </is>
      </c>
      <c r="F28" s="5" t="inlineStr">
        <is>
          <t>Adopt open table format (Apache Iceberg or Delta Lake) on S3 to enable instant time-travel queries.</t>
        </is>
      </c>
    </row>
    <row r="29" ht="28" customHeight="1">
      <c r="A29" s="26" t="inlineStr">
        <is>
          <t>D4.4: Drastic Data Incident Disaster Plan</t>
        </is>
      </c>
      <c r="B29" s="13" t="inlineStr">
        <is>
          <t>Runbook Wiki</t>
        </is>
      </c>
      <c r="C29" s="27" t="n">
        <v>1.5</v>
      </c>
      <c r="D29" s="25" t="inlineStr">
        <is>
          <t>DEV08</t>
        </is>
      </c>
      <c r="E29" s="10" t="inlineStr">
        <is>
          <t>No documented or tested disaster recovery plan for corrupted analytical warehouses.</t>
        </is>
      </c>
      <c r="F29" s="10" t="inlineStr">
        <is>
          <t>Document step-by-step disaster recovery SOP with verified RTO (&lt;2h) and RPO (&lt;15m) targets.</t>
        </is>
      </c>
    </row>
    <row r="30" ht="24" customHeight="1">
      <c r="A30" s="22" t="inlineStr">
        <is>
          <t>D5: Incident Response, Runbooks &amp; MTTR</t>
        </is>
      </c>
    </row>
    <row r="31" ht="24" customHeight="1">
      <c r="A31" s="4" t="inlineStr">
        <is>
          <t>Question ID &amp; Technical Audit Criteria</t>
        </is>
      </c>
      <c r="B31" s="4" t="inlineStr">
        <is>
          <t>Target AWS Service</t>
        </is>
      </c>
      <c r="C31" s="4" t="inlineStr">
        <is>
          <t>Score (1.0–5.0)</t>
        </is>
      </c>
      <c r="D31" s="4" t="inlineStr">
        <is>
          <t>Evidence ID</t>
        </is>
      </c>
      <c r="E31" s="4" t="inlineStr">
        <is>
          <t>Audited Finding Notes</t>
        </is>
      </c>
      <c r="F31" s="4" t="inlineStr">
        <is>
          <t>Recommended Remediation Action</t>
        </is>
      </c>
    </row>
    <row r="32" ht="28" customHeight="1">
      <c r="A32" s="23" t="inlineStr">
        <is>
          <t>D5.1: Standardized Pipeline Incident Taxonomy</t>
        </is>
      </c>
      <c r="B32" s="8" t="inlineStr">
        <is>
          <t>Jira / PagerDuty</t>
        </is>
      </c>
      <c r="C32" s="24" t="n">
        <v>2</v>
      </c>
      <c r="D32" s="25" t="inlineStr">
        <is>
          <t>DEV07</t>
        </is>
      </c>
      <c r="E32" s="5" t="inlineStr">
        <is>
          <t>Incidents logged under generic 'Data Issue' ticket; no categorization by failure mode or root cause.</t>
        </is>
      </c>
      <c r="F32" s="5" t="inlineStr">
        <is>
          <t>Deploy standardized 5-tier failure taxonomy (Schema, Timeout, OOM, Network, Data Quality).</t>
        </is>
      </c>
    </row>
    <row r="33" ht="28" customHeight="1">
      <c r="A33" s="26" t="inlineStr">
        <is>
          <t>D5.2: 1-Click Operational Runbooks &amp; SOPs</t>
        </is>
      </c>
      <c r="B33" s="13" t="inlineStr">
        <is>
          <t>Engineering Wiki</t>
        </is>
      </c>
      <c r="C33" s="27" t="n">
        <v>2</v>
      </c>
      <c r="D33" s="25" t="inlineStr">
        <is>
          <t>DEV08</t>
        </is>
      </c>
      <c r="E33" s="10" t="inlineStr">
        <is>
          <t>Runbooks either do not exist or are outdated Word docs; on-call engineers debug from scratch.</t>
        </is>
      </c>
      <c r="F33" s="10" t="inlineStr">
        <is>
          <t>Author verified markdown runbooks for top-15 failures and link URLs directly into alert payloads.</t>
        </is>
      </c>
    </row>
    <row r="34" ht="28" customHeight="1">
      <c r="A34" s="23" t="inlineStr">
        <is>
          <t>D5.3: Mean Time to Resolve (MTTR) Tracking</t>
        </is>
      </c>
      <c r="B34" s="8" t="inlineStr">
        <is>
          <t>CloudWatch / Jira</t>
        </is>
      </c>
      <c r="C34" s="24" t="n">
        <v>2.5</v>
      </c>
      <c r="D34" s="25" t="inlineStr">
        <is>
          <t>DEV07</t>
        </is>
      </c>
      <c r="E34" s="5" t="inlineStr">
        <is>
          <t>Incident resolution time averaged 14 hours per incident; no formal MTTR metric tracking.</t>
        </is>
      </c>
      <c r="F34" s="5" t="inlineStr">
        <is>
          <t>Automate MTTR metrics in Jira Service Management; target MTTR under 90 minutes across all Tier-1 jobs.</t>
        </is>
      </c>
    </row>
    <row r="35" ht="28" customHeight="1">
      <c r="A35" s="26" t="inlineStr">
        <is>
          <t>D5.4: Post-Incident Blameless Reviews (PIR)</t>
        </is>
      </c>
      <c r="B35" s="13" t="inlineStr">
        <is>
          <t>Confluence PIRs</t>
        </is>
      </c>
      <c r="C35" s="27" t="n">
        <v>2</v>
      </c>
      <c r="D35" s="25" t="inlineStr">
        <is>
          <t>DEV07</t>
        </is>
      </c>
      <c r="E35" s="10" t="inlineStr">
        <is>
          <t>Post-mortems conducted informally; action items rarely tracked to completion in engineering sprints.</t>
        </is>
      </c>
      <c r="F35" s="10" t="inlineStr">
        <is>
          <t>Enforce blameless PIR template with mandatory preventive engineering tasks added to Jira backlog.</t>
        </is>
      </c>
    </row>
    <row r="36" ht="24" customHeight="1">
      <c r="A36" s="22" t="inlineStr">
        <is>
          <t>D6: CI/CD, Testing &amp; Pipeline Deployment</t>
        </is>
      </c>
    </row>
    <row r="37" ht="24" customHeight="1">
      <c r="A37" s="4" t="inlineStr">
        <is>
          <t>Question ID &amp; Technical Audit Criteria</t>
        </is>
      </c>
      <c r="B37" s="4" t="inlineStr">
        <is>
          <t>Target AWS Service</t>
        </is>
      </c>
      <c r="C37" s="4" t="inlineStr">
        <is>
          <t>Score (1.0–5.0)</t>
        </is>
      </c>
      <c r="D37" s="4" t="inlineStr">
        <is>
          <t>Evidence ID</t>
        </is>
      </c>
      <c r="E37" s="4" t="inlineStr">
        <is>
          <t>Audited Finding Notes</t>
        </is>
      </c>
      <c r="F37" s="4" t="inlineStr">
        <is>
          <t>Recommended Remediation Action</t>
        </is>
      </c>
    </row>
    <row r="38" ht="28" customHeight="1">
      <c r="A38" s="23" t="inlineStr">
        <is>
          <t>D6.1: Data Pipeline CI/CD Automation</t>
        </is>
      </c>
      <c r="B38" s="8" t="inlineStr">
        <is>
          <t>AWS CodePipeline</t>
        </is>
      </c>
      <c r="C38" s="24" t="n">
        <v>2</v>
      </c>
      <c r="D38" s="25" t="inlineStr">
        <is>
          <t>DEV10</t>
        </is>
      </c>
      <c r="E38" s="5" t="inlineStr">
        <is>
          <t>DAG and Glue scripts manually deployed via AWS Console or ad-hoc CLI scripts.</t>
        </is>
      </c>
      <c r="F38" s="5" t="inlineStr">
        <is>
          <t>Build GitHub Actions / CodePipeline automated CI/CD pipeline deploying to Dev, Staging, and Prod.</t>
        </is>
      </c>
    </row>
    <row r="39" ht="28" customHeight="1">
      <c r="A39" s="26" t="inlineStr">
        <is>
          <t>D6.2: Automated Unit &amp; Transformation Tests</t>
        </is>
      </c>
      <c r="B39" s="13" t="inlineStr">
        <is>
          <t>pytest / dbt test</t>
        </is>
      </c>
      <c r="C39" s="27" t="n">
        <v>2</v>
      </c>
      <c r="D39" s="25" t="inlineStr">
        <is>
          <t>DEV10</t>
        </is>
      </c>
      <c r="E39" s="10" t="inlineStr">
        <is>
          <t>Zero unit tests for Spark transformations; business logic bugs caught only after production run.</t>
        </is>
      </c>
      <c r="F39" s="10" t="inlineStr">
        <is>
          <t>Implement pytest suites and dbt test validations executed automatically on pull request.</t>
        </is>
      </c>
    </row>
    <row r="40" ht="28" customHeight="1">
      <c r="A40" s="23" t="inlineStr">
        <is>
          <t>D6.3: Pre-Production Data Staging Testing</t>
        </is>
      </c>
      <c r="B40" s="8" t="inlineStr">
        <is>
          <t>AWS Staging Env</t>
        </is>
      </c>
      <c r="C40" s="24" t="n">
        <v>2</v>
      </c>
      <c r="D40" s="25" t="inlineStr">
        <is>
          <t>DEV10</t>
        </is>
      </c>
      <c r="E40" s="5" t="inlineStr">
        <is>
          <t>Staging environment lacks realistic data volumes; performance bottlenecks slip into production.</t>
        </is>
      </c>
      <c r="F40" s="5" t="inlineStr">
        <is>
          <t>Establish synthetic data generation or anonymized production sampling in staging test environment.</t>
        </is>
      </c>
    </row>
    <row r="41" ht="28" customHeight="1">
      <c r="A41" s="26" t="inlineStr">
        <is>
          <t>D6.4: Version Control &amp; Infrastructure as Code</t>
        </is>
      </c>
      <c r="B41" s="13" t="inlineStr">
        <is>
          <t>Terraform / Git</t>
        </is>
      </c>
      <c r="C41" s="27" t="n">
        <v>2</v>
      </c>
      <c r="D41" s="25" t="inlineStr">
        <is>
          <t>DEV02</t>
        </is>
      </c>
      <c r="E41" s="10" t="inlineStr">
        <is>
          <t>MWAA environments and Glue jobs configured manually; configuration drift between accounts.</t>
        </is>
      </c>
      <c r="F41" s="10" t="inlineStr">
        <is>
          <t>Codify all data platform infrastructure using Terraform / AWS CloudFormation templates.</t>
        </is>
      </c>
    </row>
    <row r="42" ht="24" customHeight="1">
      <c r="A42" s="22" t="inlineStr">
        <is>
          <t>D7: Data Observability &amp; Health Reporting</t>
        </is>
      </c>
    </row>
    <row r="43" ht="24" customHeight="1">
      <c r="A43" s="4" t="inlineStr">
        <is>
          <t>Question ID &amp; Technical Audit Criteria</t>
        </is>
      </c>
      <c r="B43" s="4" t="inlineStr">
        <is>
          <t>Target AWS Service</t>
        </is>
      </c>
      <c r="C43" s="4" t="inlineStr">
        <is>
          <t>Score (1.0–5.0)</t>
        </is>
      </c>
      <c r="D43" s="4" t="inlineStr">
        <is>
          <t>Evidence ID</t>
        </is>
      </c>
      <c r="E43" s="4" t="inlineStr">
        <is>
          <t>Audited Finding Notes</t>
        </is>
      </c>
      <c r="F43" s="4" t="inlineStr">
        <is>
          <t>Recommended Remediation Action</t>
        </is>
      </c>
    </row>
    <row r="44" ht="28" customHeight="1">
      <c r="A44" s="23" t="inlineStr">
        <is>
          <t>D7.1: Unified DataOps Executive Console</t>
        </is>
      </c>
      <c r="B44" s="8" t="inlineStr">
        <is>
          <t>CloudWatch / Grafana</t>
        </is>
      </c>
      <c r="C44" s="24" t="n">
        <v>2</v>
      </c>
      <c r="D44" s="25" t="inlineStr">
        <is>
          <t>DEV06</t>
        </is>
      </c>
      <c r="E44" s="5" t="inlineStr">
        <is>
          <t>Engineers monitor Airflow UI, CloudWatch, and Redshift console separately; no unified view.</t>
        </is>
      </c>
      <c r="F44" s="5" t="inlineStr">
        <is>
          <t>Deploy centralized DataOps dashboard displaying pipeline health, SLA delivery, and failure rates.</t>
        </is>
      </c>
    </row>
    <row r="45" ht="28" customHeight="1">
      <c r="A45" s="26" t="inlineStr">
        <is>
          <t>D7.2: Telemetry &amp; Metric Instrumentation</t>
        </is>
      </c>
      <c r="B45" s="13" t="inlineStr">
        <is>
          <t>CloudWatch Custom</t>
        </is>
      </c>
      <c r="C45" s="27" t="n">
        <v>2</v>
      </c>
      <c r="D45" s="25" t="inlineStr">
        <is>
          <t>DEV03</t>
        </is>
      </c>
      <c r="E45" s="10" t="inlineStr">
        <is>
          <t>Pipelines emit basic OS metrics; zero domain-specific telemetry (records processed, byte volume).</t>
        </is>
      </c>
      <c r="F45" s="10" t="inlineStr">
        <is>
          <t>Instrument Spark and Airflow jobs with custom CloudWatch metrics for record throughput and duration.</t>
        </is>
      </c>
    </row>
    <row r="46" ht="28" customHeight="1">
      <c r="A46" s="23" t="inlineStr">
        <is>
          <t>D7.3: Alert Signal-to-Noise Ratio</t>
        </is>
      </c>
      <c r="B46" s="8" t="inlineStr">
        <is>
          <t>CloudWatch Alarms</t>
        </is>
      </c>
      <c r="C46" s="24" t="n">
        <v>1.5</v>
      </c>
      <c r="D46" s="25" t="inlineStr">
        <is>
          <t>DEV06</t>
        </is>
      </c>
      <c r="E46" s="5" t="inlineStr">
        <is>
          <t>High alert volume (over 400 alerts/month) causes alert fatigue; engineers ignore alert channel.</t>
        </is>
      </c>
      <c r="F46" s="5" t="inlineStr">
        <is>
          <t>Tune alarm thresholds, consolidate duplicate alerts, and route only actionable P1/P2 alerts.</t>
        </is>
      </c>
    </row>
    <row r="47" ht="28" customHeight="1">
      <c r="A47" s="26" t="inlineStr">
        <is>
          <t>D7.4: Stakeholder Trust &amp; Reliability Scorecard</t>
        </is>
      </c>
      <c r="B47" s="13" t="inlineStr">
        <is>
          <t>QuickSight / Email</t>
        </is>
      </c>
      <c r="C47" s="27" t="n">
        <v>1.5</v>
      </c>
      <c r="D47" s="25" t="inlineStr">
        <is>
          <t>DEV06</t>
        </is>
      </c>
      <c r="E47" s="10" t="inlineStr">
        <is>
          <t>Business consumers express low confidence in data freshness; no visible status dashboard.</t>
        </is>
      </c>
      <c r="F47" s="10" t="inlineStr">
        <is>
          <t>Implement public Data Trust Scorecard showing real-time pipeline status and data health badges.</t>
        </is>
      </c>
    </row>
    <row r="48" ht="24" customHeight="1">
      <c r="A48" s="22" t="inlineStr">
        <is>
          <t>D8: Cost, Efficiency &amp; Resource Saturation</t>
        </is>
      </c>
    </row>
    <row r="49" ht="24" customHeight="1">
      <c r="A49" s="4" t="inlineStr">
        <is>
          <t>Question ID &amp; Technical Audit Criteria</t>
        </is>
      </c>
      <c r="B49" s="4" t="inlineStr">
        <is>
          <t>Target AWS Service</t>
        </is>
      </c>
      <c r="C49" s="4" t="inlineStr">
        <is>
          <t>Score (1.0–5.0)</t>
        </is>
      </c>
      <c r="D49" s="4" t="inlineStr">
        <is>
          <t>Evidence ID</t>
        </is>
      </c>
      <c r="E49" s="4" t="inlineStr">
        <is>
          <t>Audited Finding Notes</t>
        </is>
      </c>
      <c r="F49" s="4" t="inlineStr">
        <is>
          <t>Recommended Remediation Action</t>
        </is>
      </c>
    </row>
    <row r="50" ht="28" customHeight="1">
      <c r="A50" s="23" t="inlineStr">
        <is>
          <t>D8.1: Compute Sizing &amp; Resource Saturation</t>
        </is>
      </c>
      <c r="B50" s="8" t="inlineStr">
        <is>
          <t>AWS Cost Explorer</t>
        </is>
      </c>
      <c r="C50" s="24" t="n">
        <v>2.5</v>
      </c>
      <c r="D50" s="25" t="inlineStr">
        <is>
          <t>DEV12</t>
        </is>
      </c>
      <c r="E50" s="5" t="inlineStr">
        <is>
          <t>Glue jobs run on static DPU allocations; jobs often over-provisioned or run near OOM thresholds.</t>
        </is>
      </c>
      <c r="F50" s="5" t="inlineStr">
        <is>
          <t>Right-size Glue worker DPUs using Spark UI executor metrics; eliminate idle compute capacity.</t>
        </is>
      </c>
    </row>
    <row r="51" ht="28" customHeight="1">
      <c r="A51" s="26" t="inlineStr">
        <is>
          <t>D8.2: Redshift WLM Queue Optimization</t>
        </is>
      </c>
      <c r="B51" s="13" t="inlineStr">
        <is>
          <t>Redshift Console</t>
        </is>
      </c>
      <c r="C51" s="27" t="n">
        <v>2.5</v>
      </c>
      <c r="D51" s="25" t="inlineStr">
        <is>
          <t>DEV12</t>
        </is>
      </c>
      <c r="E51" s="10" t="inlineStr">
        <is>
          <t>Queries queue during peak batch window; ETL queries compete with business intelligence users.</t>
        </is>
      </c>
      <c r="F51" s="10" t="inlineStr">
        <is>
          <t>Configure separate WLM queues for batch ETL and BI queries with concurrency scaling enabled.</t>
        </is>
      </c>
    </row>
    <row r="52" ht="28" customHeight="1">
      <c r="A52" s="23" t="inlineStr">
        <is>
          <t>D8.3: S3 Storage Tiering &amp; Lifecycle Policies</t>
        </is>
      </c>
      <c r="B52" s="8" t="inlineStr">
        <is>
          <t>S3 Storage Lens</t>
        </is>
      </c>
      <c r="C52" s="24" t="n">
        <v>2.5</v>
      </c>
      <c r="D52" s="25" t="inlineStr">
        <is>
          <t>DEV12</t>
        </is>
      </c>
      <c r="E52" s="5" t="inlineStr">
        <is>
          <t>Historical data retained in Standard S3 indefinitely; no automated transition to Glacier.</t>
        </is>
      </c>
      <c r="F52" s="5" t="inlineStr">
        <is>
          <t>Implement S3 lifecycle rules transitioning raw landing data to Standard-IA and Glacier after 90 days.</t>
        </is>
      </c>
    </row>
    <row r="53" ht="28" customHeight="1">
      <c r="A53" s="26" t="inlineStr">
        <is>
          <t>D8.4: Cost-Per-Pipeline Attribution</t>
        </is>
      </c>
      <c r="B53" s="13" t="inlineStr">
        <is>
          <t>AWS Cost Allocation</t>
        </is>
      </c>
      <c r="C53" s="27" t="n">
        <v>2</v>
      </c>
      <c r="D53" s="25" t="inlineStr">
        <is>
          <t>DEV12</t>
        </is>
      </c>
      <c r="E53" s="10" t="inlineStr">
        <is>
          <t>AWS data spend aggregated into single account bill; cannot attribute cost to individual pipelines.</t>
        </is>
      </c>
      <c r="F53" s="10" t="inlineStr">
        <is>
          <t>Tag all Glue, MWAA, and Redshift resources with Pipeline_ID to enable per-pipeline cost reporting.</t>
        </is>
      </c>
    </row>
  </sheetData>
  <mergeCells count="10">
    <mergeCell ref="A24:F24"/>
    <mergeCell ref="A2:F2"/>
    <mergeCell ref="A42:F42"/>
    <mergeCell ref="A36:F36"/>
    <mergeCell ref="A1:F1"/>
    <mergeCell ref="A6:F6"/>
    <mergeCell ref="A12:F12"/>
    <mergeCell ref="A18:F18"/>
    <mergeCell ref="A48:F48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8" customWidth="1" min="3" max="3"/>
    <col width="18" customWidth="1" min="4" max="4"/>
    <col width="18" customWidth="1" min="5" max="5"/>
    <col width="46" customWidth="1" min="6" max="6"/>
  </cols>
  <sheetData>
    <row r="1" ht="28" customHeight="1">
      <c r="A1" s="1" t="inlineStr">
        <is>
          <t>DATAOPS MASTER EVIDENCE REGISTER (DEV01–DEV12)</t>
        </is>
      </c>
    </row>
    <row r="2" ht="18" customHeight="1">
      <c r="A2" s="2" t="inlineStr">
        <is>
          <t>Concrete Technical Artifacts Audited in AWS Environment | v2.0</t>
        </is>
      </c>
    </row>
    <row r="3" ht="10" customHeight="1"/>
    <row r="4">
      <c r="A4" s="3" t="inlineStr">
        <is>
          <t>A. Master Evidence Artifacts &amp; Inspection Verification</t>
        </is>
      </c>
    </row>
    <row r="5" ht="24" customHeight="1">
      <c r="A5" s="4" t="inlineStr">
        <is>
          <t>Evidence ID</t>
        </is>
      </c>
      <c r="B5" s="4" t="inlineStr">
        <is>
          <t>Technical Artifact Name</t>
        </is>
      </c>
      <c r="C5" s="4" t="inlineStr">
        <is>
          <t>AWS Location / Resource Path</t>
        </is>
      </c>
      <c r="D5" s="4" t="inlineStr">
        <is>
          <t>Target Dimensions</t>
        </is>
      </c>
      <c r="E5" s="4" t="inlineStr">
        <is>
          <t>Inspection Status</t>
        </is>
      </c>
      <c r="F5" s="4" t="inlineStr">
        <is>
          <t>Audited Evidence Notes &amp; Gaps</t>
        </is>
      </c>
    </row>
    <row r="6" ht="24" customHeight="1">
      <c r="A6" s="28" t="inlineStr">
        <is>
          <t>DEV01</t>
        </is>
      </c>
      <c r="B6" s="5" t="inlineStr">
        <is>
          <t>Pipeline Topology &amp; Service Catalog</t>
        </is>
      </c>
      <c r="C6" s="5" t="inlineStr">
        <is>
          <t>AWS Glue Data Catalog / MWAA / Step Functions</t>
        </is>
      </c>
      <c r="D6" s="29" t="inlineStr">
        <is>
          <t>D1, D3</t>
        </is>
      </c>
      <c r="E6" s="15" t="inlineStr">
        <is>
          <t>Inspected</t>
        </is>
      </c>
      <c r="F6" s="5" t="inlineStr">
        <is>
          <t>Catalog lacks data freshness tags; dependencies between Glue and MWAA mapped manually.</t>
        </is>
      </c>
    </row>
    <row r="7" ht="24" customHeight="1">
      <c r="A7" s="30" t="inlineStr">
        <is>
          <t>DEV02</t>
        </is>
      </c>
      <c r="B7" s="10" t="inlineStr">
        <is>
          <t>Orchestration Code &amp; DAG Definitions</t>
        </is>
      </c>
      <c r="C7" s="10" t="inlineStr">
        <is>
          <t>Airflow Git Repository / Step Functions JSON</t>
        </is>
      </c>
      <c r="D7" s="31" t="inlineStr">
        <is>
          <t>D1, D4</t>
        </is>
      </c>
      <c r="E7" s="15" t="inlineStr">
        <is>
          <t>Inspected</t>
        </is>
      </c>
      <c r="F7" s="10" t="inlineStr">
        <is>
          <t>Monolithic DAGs with tight coupling; static retry intervals with zero jitter.</t>
        </is>
      </c>
    </row>
    <row r="8" ht="24" customHeight="1">
      <c r="A8" s="28" t="inlineStr">
        <is>
          <t>DEV03</t>
        </is>
      </c>
      <c r="B8" s="5" t="inlineStr">
        <is>
          <t>Pipeline Execution Logs (90 Days)</t>
        </is>
      </c>
      <c r="C8" s="5" t="inlineStr">
        <is>
          <t>CloudWatch Log Groups (/aws/mwaa, /aws/glue)</t>
        </is>
      </c>
      <c r="D8" s="29" t="inlineStr">
        <is>
          <t>D1, D3, D5</t>
        </is>
      </c>
      <c r="E8" s="15" t="inlineStr">
        <is>
          <t>Inspected</t>
        </is>
      </c>
      <c r="F8" s="5" t="inlineStr">
        <is>
          <t>Frequent worker OOMs and executor task retries; logs expire after 30 days in some accounts.</t>
        </is>
      </c>
    </row>
    <row r="9" ht="24" customHeight="1">
      <c r="A9" s="30" t="inlineStr">
        <is>
          <t>DEV04</t>
        </is>
      </c>
      <c r="B9" s="10" t="inlineStr">
        <is>
          <t>Data Quality &amp; Schema Rules</t>
        </is>
      </c>
      <c r="C9" s="10" t="inlineStr">
        <is>
          <t>Great Expectations / Soda / Glue Data Quality</t>
        </is>
      </c>
      <c r="D9" s="31" t="inlineStr">
        <is>
          <t>D2, D7</t>
        </is>
      </c>
      <c r="E9" s="14" t="inlineStr">
        <is>
          <t>Gapped</t>
        </is>
      </c>
      <c r="F9" s="10" t="inlineStr">
        <is>
          <t>Zero automated data quality tests in active pipeline code; checks performed via manual SQL.</t>
        </is>
      </c>
    </row>
    <row r="10" ht="24" customHeight="1">
      <c r="A10" s="28" t="inlineStr">
        <is>
          <t>DEV05</t>
        </is>
      </c>
      <c r="B10" s="5" t="inlineStr">
        <is>
          <t>Schema Evolution &amp; Drift History</t>
        </is>
      </c>
      <c r="C10" s="5" t="inlineStr">
        <is>
          <t>Glue Schema Registry / Delta Lake / Iceberg log</t>
        </is>
      </c>
      <c r="D10" s="29" t="inlineStr">
        <is>
          <t>D2, D4</t>
        </is>
      </c>
      <c r="E10" s="14" t="inlineStr">
        <is>
          <t>Gapped</t>
        </is>
      </c>
      <c r="F10" s="5" t="inlineStr">
        <is>
          <t>Schema registry disabled; table schema changes applied ad-hoc directly in Redshift.</t>
        </is>
      </c>
    </row>
    <row r="11" ht="24" customHeight="1">
      <c r="A11" s="30" t="inlineStr">
        <is>
          <t>DEV06</t>
        </is>
      </c>
      <c r="B11" s="10" t="inlineStr">
        <is>
          <t>SLA &amp; Freshness Metric Monitors</t>
        </is>
      </c>
      <c r="C11" s="10" t="inlineStr">
        <is>
          <t>CloudWatch Alarms / EventBridge / Datadog</t>
        </is>
      </c>
      <c r="D11" s="31" t="inlineStr">
        <is>
          <t>D3, D5</t>
        </is>
      </c>
      <c r="E11" s="15" t="inlineStr">
        <is>
          <t>Inspected</t>
        </is>
      </c>
      <c r="F11" s="10" t="inlineStr">
        <is>
          <t>Alarms configured only for total job failures; zero milestone freshness monitors.</t>
        </is>
      </c>
    </row>
    <row r="12" ht="24" customHeight="1">
      <c r="A12" s="28" t="inlineStr">
        <is>
          <t>DEV07</t>
        </is>
      </c>
      <c r="B12" s="5" t="inlineStr">
        <is>
          <t>Incident Post-Mortems &amp; RCA Records</t>
        </is>
      </c>
      <c r="C12" s="5" t="inlineStr">
        <is>
          <t>Jira Service Management / Confluence PIRs</t>
        </is>
      </c>
      <c r="D12" s="29" t="inlineStr">
        <is>
          <t>D5</t>
        </is>
      </c>
      <c r="E12" s="15" t="inlineStr">
        <is>
          <t>Inspected</t>
        </is>
      </c>
      <c r="F12" s="5" t="inlineStr">
        <is>
          <t>18 major incidents logged in past 90 days; average MTTR of 14 hours; PIRs lack follow-up.</t>
        </is>
      </c>
    </row>
    <row r="13" ht="24" customHeight="1">
      <c r="A13" s="30" t="inlineStr">
        <is>
          <t>DEV08</t>
        </is>
      </c>
      <c r="B13" s="10" t="inlineStr">
        <is>
          <t>Operational Runbooks &amp; SOPs</t>
        </is>
      </c>
      <c r="C13" s="10" t="inlineStr">
        <is>
          <t>Engineering Runbook Repo / Wiki SOPs</t>
        </is>
      </c>
      <c r="D13" s="31" t="inlineStr">
        <is>
          <t>D5</t>
        </is>
      </c>
      <c r="E13" s="14" t="inlineStr">
        <is>
          <t>Gapped</t>
        </is>
      </c>
      <c r="F13" s="10" t="inlineStr">
        <is>
          <t>Only 3 outdated runbooks exist; on-call engineers rely on tribal knowledge.</t>
        </is>
      </c>
    </row>
    <row r="14" ht="24" customHeight="1">
      <c r="A14" s="28" t="inlineStr">
        <is>
          <t>DEV09</t>
        </is>
      </c>
      <c r="B14" s="5" t="inlineStr">
        <is>
          <t>Replay, Backfill &amp; Retry Scripts</t>
        </is>
      </c>
      <c r="C14" s="5" t="inlineStr">
        <is>
          <t>Airflow backfill commands / Lambda recovery code</t>
        </is>
      </c>
      <c r="D14" s="29" t="inlineStr">
        <is>
          <t>D4</t>
        </is>
      </c>
      <c r="E14" s="15" t="inlineStr">
        <is>
          <t>Inspected</t>
        </is>
      </c>
      <c r="F14" s="5" t="inlineStr">
        <is>
          <t>Backfills executed via manual scripts; high risk of duplicate records in target tables.</t>
        </is>
      </c>
    </row>
    <row r="15" ht="24" customHeight="1">
      <c r="A15" s="30" t="inlineStr">
        <is>
          <t>DEV10</t>
        </is>
      </c>
      <c r="B15" s="10" t="inlineStr">
        <is>
          <t>CI/CD Data Pipeline Testing Suites</t>
        </is>
      </c>
      <c r="C15" s="10" t="inlineStr">
        <is>
          <t>GitHub Actions / AWS CodePipeline / dbt test</t>
        </is>
      </c>
      <c r="D15" s="31" t="inlineStr">
        <is>
          <t>D6</t>
        </is>
      </c>
      <c r="E15" s="14" t="inlineStr">
        <is>
          <t>Gapped</t>
        </is>
      </c>
      <c r="F15" s="10" t="inlineStr">
        <is>
          <t>No automated pre-merge testing; DAG code deployed directly to production S3 bucket.</t>
        </is>
      </c>
    </row>
    <row r="16" ht="24" customHeight="1">
      <c r="A16" s="28" t="inlineStr">
        <is>
          <t>DEV11</t>
        </is>
      </c>
      <c r="B16" s="5" t="inlineStr">
        <is>
          <t>Data Lineage &amp; Telemetry Tracing</t>
        </is>
      </c>
      <c r="C16" s="5" t="inlineStr">
        <is>
          <t>OpenLineage / DataHub / CloudWatch Custom</t>
        </is>
      </c>
      <c r="D16" s="29" t="inlineStr">
        <is>
          <t>D7</t>
        </is>
      </c>
      <c r="E16" s="14" t="inlineStr">
        <is>
          <t>Gapped</t>
        </is>
      </c>
      <c r="F16" s="5" t="inlineStr">
        <is>
          <t>Zero automated column-level lineage tracking; blast radius determined by manual interviews.</t>
        </is>
      </c>
    </row>
    <row r="17" ht="24" customHeight="1">
      <c r="A17" s="30" t="inlineStr">
        <is>
          <t>DEV12</t>
        </is>
      </c>
      <c r="B17" s="10" t="inlineStr">
        <is>
          <t>Resource Saturation &amp; Compute Metrics</t>
        </is>
      </c>
      <c r="C17" s="10" t="inlineStr">
        <is>
          <t>AWS Cost &amp; Usage Reports / EMR CloudWatch</t>
        </is>
      </c>
      <c r="D17" s="31" t="inlineStr">
        <is>
          <t>D8</t>
        </is>
      </c>
      <c r="E17" s="15" t="inlineStr">
        <is>
          <t>Inspected</t>
        </is>
      </c>
      <c r="F17" s="10" t="inlineStr">
        <is>
          <t>Glue DPUs over-provisioned by ~35%; Redshift WLM queues experience query spill to disk.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4" customWidth="1" min="3" max="3"/>
    <col width="22" customWidth="1" min="4" max="4"/>
    <col width="16" customWidth="1" min="5" max="5"/>
  </cols>
  <sheetData>
    <row r="1" ht="28" customHeight="1">
      <c r="A1" s="1" t="inlineStr">
        <is>
          <t>VITHI DATAOPS PRACTICE | AUDITOR &amp; INTERVIEWER FIELD NOTES</t>
        </is>
      </c>
    </row>
    <row r="2" ht="18" customHeight="1">
      <c r="A2" s="2" t="inlineStr">
        <is>
          <t>Diagnostic Observations, Stakeholder Feedback &amp; Risk Register | v2.0</t>
        </is>
      </c>
    </row>
    <row r="3" ht="10" customHeight="1"/>
    <row r="4">
      <c r="A4" s="3" t="inlineStr">
        <is>
          <t>A. Diagnostic Field Notes &amp; Stakeholder Calibration</t>
        </is>
      </c>
    </row>
    <row r="5" ht="24" customHeight="1">
      <c r="A5" s="4" t="inlineStr">
        <is>
          <t>Interview Session</t>
        </is>
      </c>
      <c r="B5" s="4" t="inlineStr">
        <is>
          <t>Stakeholder &amp; Role</t>
        </is>
      </c>
      <c r="C5" s="4" t="inlineStr">
        <is>
          <t>Key Observations &amp; Pain Points</t>
        </is>
      </c>
      <c r="D5" s="4" t="inlineStr">
        <is>
          <t>Validated Evidence Link</t>
        </is>
      </c>
      <c r="E5" s="4" t="inlineStr">
        <is>
          <t>Severity Level</t>
        </is>
      </c>
    </row>
    <row r="6" ht="26" customHeight="1">
      <c r="A6" s="23" t="inlineStr">
        <is>
          <t>Session 1: Executive Kickoff</t>
        </is>
      </c>
      <c r="B6" s="5" t="inlineStr">
        <is>
          <t>VP of Data &amp; CDO</t>
        </is>
      </c>
      <c r="C6" s="5" t="inlineStr">
        <is>
          <t>Expressed deep concern over recurring 06:00 AM wealth reporting delays; board demanding resolution.</t>
        </is>
      </c>
      <c r="D6" s="5" t="inlineStr">
        <is>
          <t>Executive SLA Register</t>
        </is>
      </c>
      <c r="E6" s="9" t="inlineStr">
        <is>
          <t>High</t>
        </is>
      </c>
    </row>
    <row r="7" ht="26" customHeight="1">
      <c r="A7" s="26" t="inlineStr">
        <is>
          <t>Session 2: Orchestration &amp; Airflow</t>
        </is>
      </c>
      <c r="B7" s="10" t="inlineStr">
        <is>
          <t>Lead Data Engineer (MWAA)</t>
        </is>
      </c>
      <c r="C7" s="10" t="inlineStr">
        <is>
          <t>Confirmed DAGs are tightly coupled; frequent OOM crashes on worker nodes during month-end batch.</t>
        </is>
      </c>
      <c r="D7" s="10" t="inlineStr">
        <is>
          <t>DEV02, DEV03</t>
        </is>
      </c>
      <c r="E7" s="9" t="inlineStr">
        <is>
          <t>High</t>
        </is>
      </c>
    </row>
    <row r="8" ht="26" customHeight="1">
      <c r="A8" s="23" t="inlineStr">
        <is>
          <t>Session 3: Data Quality &amp; Warehousing</t>
        </is>
      </c>
      <c r="B8" s="5" t="inlineStr">
        <is>
          <t>Senior Analytics Engineer (Redshift)</t>
        </is>
      </c>
      <c r="C8" s="5" t="inlineStr">
        <is>
          <t>Stated upstream schema drift causes silent corruption; business discovers broken reports days later.</t>
        </is>
      </c>
      <c r="D8" s="5" t="inlineStr">
        <is>
          <t>DEV04, DEV05</t>
        </is>
      </c>
      <c r="E8" s="14" t="inlineStr">
        <is>
          <t>Critical</t>
        </is>
      </c>
    </row>
    <row r="9" ht="26" customHeight="1">
      <c r="A9" s="26" t="inlineStr">
        <is>
          <t>Session 4: Operations &amp; On-Call</t>
        </is>
      </c>
      <c r="B9" s="10" t="inlineStr">
        <is>
          <t>On-Call Reliability Engineer</t>
        </is>
      </c>
      <c r="C9" s="10" t="inlineStr">
        <is>
          <t>Engineers burned out by repetitive overnight alerts; runbooks missing; manual SQL triage takes 14h.</t>
        </is>
      </c>
      <c r="D9" s="10" t="inlineStr">
        <is>
          <t>DEV07, DEV08</t>
        </is>
      </c>
      <c r="E9" s="14" t="inlineStr">
        <is>
          <t>Critical</t>
        </is>
      </c>
    </row>
    <row r="10" ht="26" customHeight="1">
      <c r="A10" s="23" t="inlineStr">
        <is>
          <t>Session 5: Architecture &amp; Infrastructure</t>
        </is>
      </c>
      <c r="B10" s="5" t="inlineStr">
        <is>
          <t>Cloud Platform Architect</t>
        </is>
      </c>
      <c r="C10" s="5" t="inlineStr">
        <is>
          <t>Receptive to automated CI/CD and idempotent backfill patterns; prefers native AWS tool optimization.</t>
        </is>
      </c>
      <c r="D10" s="5" t="inlineStr">
        <is>
          <t>DEV09, DEV10</t>
        </is>
      </c>
      <c r="E10" s="15" t="inlineStr">
        <is>
          <t>Medium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2026-09-22T18:39:28Z</dcterms:created>
  <dcterms:modified xmlns:dcterms="http://purl.org/dc/terms/" xmlns:xsi="http://www.w3.org/2001/XMLSchema-instance" xsi:type="dcterms:W3CDTF">2026-09-22T18:39:28Z</dcterms:modified>
</cp:coreProperties>
</file>